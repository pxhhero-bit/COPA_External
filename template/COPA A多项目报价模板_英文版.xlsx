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Area" localSheetId="0">'Quotation'!$A$1:$I$84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2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4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color theme="1"/>
      <sz val="20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sz val="9"/>
      <scheme val="minor"/>
    </font>
    <font>
      <name val="Arial"/>
      <family val="2"/>
      <b val="1"/>
      <color theme="1"/>
      <sz val="20"/>
    </font>
    <font>
      <name val="Arial"/>
      <family val="2"/>
      <color theme="1"/>
      <sz val="14"/>
    </font>
    <font>
      <name val="Times New Roman"/>
      <family val="1"/>
      <b val="1"/>
      <color theme="1"/>
      <sz val="11"/>
    </font>
    <font>
      <name val="Arial"/>
      <family val="2"/>
      <color theme="1"/>
      <sz val="11"/>
    </font>
    <font>
      <name val="Times New Roman"/>
      <family val="1"/>
      <b val="1"/>
      <sz val="11"/>
    </font>
    <font>
      <name val="Times New Roman"/>
      <family val="1"/>
      <color theme="1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 Unicode MS"/>
      <charset val="134"/>
      <family val="2"/>
      <color theme="1"/>
      <sz val="11"/>
    </font>
    <font>
      <name val="Arial"/>
      <family val="2"/>
      <sz val="11"/>
    </font>
    <font>
      <name val="Arial Unicode MS"/>
      <charset val="134"/>
      <family val="2"/>
      <sz val="11"/>
    </font>
    <font>
      <name val="Arial"/>
      <family val="2"/>
      <color rgb="FFFF0000"/>
      <sz val="11"/>
    </font>
    <font>
      <name val="Arial Unicode MS"/>
      <charset val="134"/>
      <family val="2"/>
      <color rgb="FFFF0000"/>
      <sz val="11"/>
    </font>
    <font>
      <name val="Arial Unicode MS"/>
      <charset val="134"/>
      <family val="2"/>
      <b val="1"/>
      <sz val="11"/>
    </font>
    <font>
      <name val="Arial"/>
      <family val="2"/>
      <b val="1"/>
      <color theme="1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165" fontId="6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165" fontId="9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0" pivotButton="0" quotePrefix="0" xfId="0"/>
    <xf numFmtId="0" fontId="7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vertical="center"/>
    </xf>
    <xf numFmtId="0" fontId="14" fillId="0" borderId="4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6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8" fillId="0" borderId="4" pivotButton="0" quotePrefix="0" xfId="0"/>
    <xf numFmtId="164" fontId="17" fillId="0" borderId="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 wrapText="1"/>
    </xf>
    <xf numFmtId="0" fontId="16" fillId="0" borderId="5" pivotButton="0" quotePrefix="0" xfId="0"/>
    <xf numFmtId="0" fontId="16" fillId="0" borderId="4" pivotButton="0" quotePrefix="0" xfId="0"/>
    <xf numFmtId="0" fontId="20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vertical="center" wrapText="1"/>
    </xf>
    <xf numFmtId="164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vertical="center" wrapText="1"/>
    </xf>
    <xf numFmtId="164" fontId="20" fillId="0" borderId="2" applyAlignment="1" pivotButton="0" quotePrefix="0" xfId="0">
      <alignment horizontal="center" vertical="center" wrapText="1"/>
    </xf>
    <xf numFmtId="165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18" fillId="0" borderId="5" pivotButton="0" quotePrefix="0" xfId="0"/>
    <xf numFmtId="0" fontId="17" fillId="0" borderId="2" applyAlignment="1" pivotButton="0" quotePrefix="0" xfId="0">
      <alignment horizontal="right" vertical="center" wrapText="1"/>
    </xf>
    <xf numFmtId="164" fontId="17" fillId="0" borderId="2" applyAlignment="1" pivotButton="0" quotePrefix="0" xfId="0">
      <alignment horizontal="left" vertical="center"/>
    </xf>
    <xf numFmtId="0" fontId="23" fillId="0" borderId="6" applyAlignment="1" pivotButton="0" quotePrefix="0" xfId="0">
      <alignment vertical="center"/>
    </xf>
    <xf numFmtId="0" fontId="24" fillId="0" borderId="11" applyAlignment="1" pivotButton="0" quotePrefix="0" xfId="0">
      <alignment horizontal="left" vertical="center" wrapText="1"/>
    </xf>
    <xf numFmtId="0" fontId="16" fillId="0" borderId="0" pivotButton="0" quotePrefix="0" xfId="0"/>
    <xf numFmtId="0" fontId="16" fillId="0" borderId="11" pivotButton="0" quotePrefix="0" xfId="0"/>
    <xf numFmtId="0" fontId="16" fillId="0" borderId="11" applyAlignment="1" pivotButton="0" quotePrefix="0" xfId="0">
      <alignment horizontal="left" vertical="center" wrapText="1"/>
    </xf>
    <xf numFmtId="0" fontId="26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9" fillId="0" borderId="0" pivotButton="0" quotePrefix="0" xfId="0"/>
    <xf numFmtId="0" fontId="29" fillId="0" borderId="11" pivotButton="0" quotePrefix="0" xfId="0"/>
    <xf numFmtId="0" fontId="16" fillId="0" borderId="1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0" fillId="0" borderId="5" pivotButton="0" quotePrefix="0" xfId="0"/>
    <xf numFmtId="164" fontId="17" fillId="0" borderId="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center" vertical="center" wrapText="1"/>
    </xf>
    <xf numFmtId="164" fontId="20" fillId="0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 wrapText="1"/>
    </xf>
    <xf numFmtId="165" fontId="20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164" fontId="17" fillId="0" borderId="2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144145</rowOff>
    </from>
    <ext cx="594995" cy="594995"/>
    <pic>
      <nvPicPr>
        <cNvPr id="5" name="ID_A4A608200D86441BA6FEFDF5B2B14E7E" descr="COPA 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44145"/>
          <a:ext cx="1388110" cy="5949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topLeftCell="A60" workbookViewId="0">
      <selection activeCell="B75" sqref="B75:I75"/>
    </sheetView>
  </sheetViews>
  <sheetFormatPr baseColWidth="8" defaultColWidth="9" defaultRowHeight="14.4"/>
  <cols>
    <col width="7.109375" customWidth="1" style="28" min="1" max="1"/>
    <col width="17.33203125" customWidth="1" style="28" min="2" max="2"/>
    <col width="20.6640625" customWidth="1" style="28" min="3" max="3"/>
    <col width="7.6640625" customWidth="1" style="28" min="4" max="4"/>
    <col width="7.21875" customWidth="1" style="28" min="5" max="5"/>
    <col width="8.88671875" customWidth="1" style="28" min="6" max="6"/>
    <col width="8.44140625" customWidth="1" style="28" min="7" max="7"/>
    <col width="9" customWidth="1" style="28" min="8" max="8"/>
    <col width="14" customWidth="1" style="28" min="9" max="9"/>
    <col width="13.6640625" customWidth="1" style="28" min="10" max="10"/>
  </cols>
  <sheetData>
    <row r="1" ht="23.1" customHeight="1" s="28">
      <c r="A1" s="31" t="n"/>
      <c r="C1" s="3" t="inlineStr">
        <is>
          <t xml:space="preserve">COPA A Co., Ltd.</t>
        </is>
      </c>
      <c r="D1" s="3" t="n"/>
      <c r="F1" s="4" t="n"/>
      <c r="G1" s="4" t="n"/>
      <c r="H1" s="4" t="n"/>
      <c r="I1" s="4" t="n"/>
    </row>
    <row r="2" ht="23.1" customHeight="1" s="28">
      <c r="C2" s="0" t="inlineStr">
        <is>
          <t xml:space="preserve">Smart Weighing Solutions</t>
        </is>
      </c>
    </row>
    <row r="3" ht="23.1" customHeight="1" s="28">
      <c r="A3" s="32" t="n"/>
      <c r="B3" s="32" t="n"/>
      <c r="C3" s="5" t="inlineStr">
        <is>
          <t xml:space="preserve"/>
        </is>
      </c>
      <c r="D3" s="5" t="n"/>
      <c r="E3" s="5" t="n"/>
      <c r="F3" s="5" t="n"/>
      <c r="G3" s="5" t="n"/>
      <c r="H3" s="5" t="n"/>
      <c r="I3" s="5" t="n"/>
    </row>
    <row r="4" ht="27" customFormat="1" customHeight="1" s="1">
      <c r="A4" s="74" t="inlineStr">
        <is>
          <t>QUOTATION</t>
        </is>
      </c>
      <c r="B4" s="75" t="n"/>
      <c r="C4" s="75" t="n"/>
      <c r="D4" s="75" t="n"/>
      <c r="E4" s="75" t="n"/>
      <c r="F4" s="75" t="n"/>
      <c r="G4" s="75" t="n"/>
      <c r="H4" s="75" t="n"/>
      <c r="I4" s="27" t="n"/>
    </row>
    <row r="5" ht="30.6" customHeight="1" s="28">
      <c r="A5" s="36" t="inlineStr">
        <is>
          <t>To:</t>
        </is>
      </c>
      <c r="B5" s="6" t="n"/>
      <c r="D5" s="37" t="inlineStr">
        <is>
          <t xml:space="preserve">From: </t>
        </is>
      </c>
      <c r="E5" s="65" t="inlineStr">
        <is>
          <t xml:space="preserve">COPA A Co., Ltd.</t>
        </is>
      </c>
      <c r="F5" s="37" t="n"/>
      <c r="G5" s="37" t="n"/>
      <c r="H5" s="37" t="n"/>
      <c r="I5" s="37" t="n"/>
    </row>
    <row r="6" ht="18" customHeight="1" s="28">
      <c r="A6" s="36" t="inlineStr">
        <is>
          <t>Attn:</t>
        </is>
      </c>
      <c r="B6" s="6" t="n"/>
      <c r="D6" s="36" t="inlineStr">
        <is>
          <t xml:space="preserve">Contact: COPA</t>
        </is>
      </c>
      <c r="E6" s="36" t="n"/>
      <c r="F6" s="36" t="n"/>
      <c r="G6" s="36" t="n"/>
      <c r="H6" s="36" t="n"/>
      <c r="I6" s="36" t="n"/>
    </row>
    <row r="7" ht="18" customHeight="1" s="28">
      <c r="A7" s="36" t="inlineStr">
        <is>
          <t>Tel:</t>
        </is>
      </c>
      <c r="B7" s="6" t="n"/>
      <c r="D7" s="36" t="inlineStr">
        <is>
          <t>Tel:</t>
        </is>
      </c>
      <c r="E7" s="36" t="n"/>
      <c r="F7" s="36" t="n"/>
      <c r="G7" s="36" t="n"/>
      <c r="H7" s="36" t="n"/>
      <c r="I7" s="36" t="n"/>
    </row>
    <row r="8" ht="18" customHeight="1" s="28">
      <c r="A8" s="36" t="inlineStr">
        <is>
          <t>E-mail:</t>
        </is>
      </c>
      <c r="B8" s="6" t="n"/>
      <c r="D8" s="36" t="inlineStr">
        <is>
          <t xml:space="preserve">E-mail: contact@copa-demo.example</t>
        </is>
      </c>
      <c r="E8" s="36" t="n"/>
      <c r="F8" s="36" t="n"/>
      <c r="G8" s="36" t="n"/>
      <c r="H8" s="36" t="n"/>
      <c r="I8" s="36" t="n"/>
      <c r="M8" s="13" t="n"/>
    </row>
    <row r="9" ht="18" customHeight="1" s="28">
      <c r="A9" s="36" t="inlineStr">
        <is>
          <t>Quotation date:</t>
        </is>
      </c>
      <c r="B9" s="7" t="n"/>
    </row>
    <row r="10" ht="18" customHeight="1" s="28">
      <c r="A10" s="36" t="inlineStr">
        <is>
          <t>Quotation details:</t>
        </is>
      </c>
    </row>
    <row r="11" ht="44.85" customHeight="1" s="28">
      <c r="A11" s="40" t="inlineStr">
        <is>
          <t>No.</t>
        </is>
      </c>
      <c r="B11" s="40" t="inlineStr">
        <is>
          <t>Item</t>
        </is>
      </c>
      <c r="C11" s="40" t="inlineStr">
        <is>
          <t>Model &amp; Description</t>
        </is>
      </c>
      <c r="D11" s="27" t="n"/>
      <c r="E11" s="40" t="inlineStr">
        <is>
          <t>Unit</t>
        </is>
      </c>
      <c r="F11" s="76" t="inlineStr">
        <is>
          <t>Qty</t>
        </is>
      </c>
      <c r="G11" s="77" t="inlineStr">
        <is>
          <t>Unit Price (USD)</t>
        </is>
      </c>
      <c r="H11" s="77" t="inlineStr">
        <is>
          <t>Total Price (USD)</t>
        </is>
      </c>
      <c r="I11" s="40" t="inlineStr">
        <is>
          <t>Remarks</t>
        </is>
      </c>
    </row>
    <row r="12" ht="59.25" customHeight="1" s="28">
      <c r="A12" s="44" t="inlineStr">
        <is>
          <t>I.</t>
        </is>
      </c>
      <c r="B12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12" s="75" t="n"/>
      <c r="D12" s="75" t="n"/>
      <c r="E12" s="75" t="n"/>
      <c r="F12" s="75" t="n"/>
      <c r="G12" s="75" t="n"/>
      <c r="H12" s="75" t="n"/>
      <c r="I12" s="27" t="n"/>
    </row>
    <row r="13" ht="72" customHeight="1" s="28">
      <c r="A13" s="48" t="n">
        <v>1</v>
      </c>
      <c r="B13" s="48" t="inlineStr">
        <is>
          <t>Weighing module</t>
        </is>
      </c>
      <c r="C13" s="49" t="n"/>
      <c r="D13" s="27" t="n"/>
      <c r="E13" s="48" t="inlineStr">
        <is>
          <t>pc</t>
        </is>
      </c>
      <c r="F13" s="48" t="n"/>
      <c r="G13" s="78" t="n"/>
      <c r="H13" s="78">
        <f>F13*G13</f>
        <v/>
      </c>
      <c r="I13" s="55" t="n"/>
      <c r="J13" s="14" t="n"/>
    </row>
    <row r="14" ht="67.95" customHeight="1" s="28">
      <c r="A14" s="55" t="n">
        <v>2</v>
      </c>
      <c r="B14" s="55" t="inlineStr">
        <is>
          <t>Junction box</t>
        </is>
      </c>
      <c r="C14" s="52" t="n"/>
      <c r="D14" s="27" t="n"/>
      <c r="E14" s="55" t="inlineStr">
        <is>
          <t>pc</t>
        </is>
      </c>
      <c r="F14" s="55" t="n"/>
      <c r="G14" s="79" t="n"/>
      <c r="H14" s="78">
        <f>F14*G14</f>
        <v/>
      </c>
      <c r="I14" s="80" t="n"/>
    </row>
    <row r="15" ht="78" customHeight="1" s="28">
      <c r="A15" s="55" t="n">
        <v>3</v>
      </c>
      <c r="B15" s="55" t="inlineStr">
        <is>
          <t>Weighing display controller</t>
        </is>
      </c>
      <c r="C15" s="52" t="n"/>
      <c r="D15" s="27" t="n"/>
      <c r="E15" s="55" t="inlineStr">
        <is>
          <t>pc</t>
        </is>
      </c>
      <c r="F15" s="55" t="n"/>
      <c r="G15" s="79" t="n"/>
      <c r="H15" s="78">
        <f>F15*G15</f>
        <v/>
      </c>
      <c r="I15" s="80" t="n"/>
    </row>
    <row r="16" ht="30" customHeight="1" s="28">
      <c r="A16" s="55" t="n">
        <v>4</v>
      </c>
      <c r="B16" s="55" t="inlineStr">
        <is>
          <t>Signal cable</t>
        </is>
      </c>
      <c r="C16" s="52" t="n"/>
      <c r="D16" s="27" t="n"/>
      <c r="E16" s="55" t="inlineStr">
        <is>
          <t>m</t>
        </is>
      </c>
      <c r="F16" s="55" t="n"/>
      <c r="G16" s="79" t="n"/>
      <c r="H16" s="78">
        <f>F16*G16</f>
        <v/>
      </c>
      <c r="I16" s="80" t="n"/>
    </row>
    <row r="17" ht="28.05" customHeight="1" s="28">
      <c r="A17" s="48" t="n">
        <v>5</v>
      </c>
      <c r="B17" s="55" t="inlineStr">
        <is>
          <t>Top adapting plate</t>
        </is>
      </c>
      <c r="C17" s="52" t="n"/>
      <c r="D17" s="27" t="n"/>
      <c r="E17" s="55" t="inlineStr">
        <is>
          <t>pc</t>
        </is>
      </c>
      <c r="F17" s="55" t="n"/>
      <c r="G17" s="79" t="n"/>
      <c r="H17" s="78">
        <f>F17*G17</f>
        <v/>
      </c>
      <c r="I17" s="55" t="n"/>
    </row>
    <row r="18" ht="28.05" customHeight="1" s="28">
      <c r="A18" s="55" t="n">
        <v>6</v>
      </c>
      <c r="B18" s="55" t="inlineStr">
        <is>
          <t>Base adapting plate</t>
        </is>
      </c>
      <c r="C18" s="52" t="n"/>
      <c r="D18" s="27" t="n"/>
      <c r="E18" s="55" t="inlineStr">
        <is>
          <t>pc</t>
        </is>
      </c>
      <c r="F18" s="55" t="n"/>
      <c r="G18" s="79" t="n"/>
      <c r="H18" s="78">
        <f>F18*G18</f>
        <v/>
      </c>
      <c r="I18" s="55" t="n"/>
    </row>
    <row r="19" ht="19.95" customHeight="1" s="28">
      <c r="A19" s="55" t="n">
        <v>7</v>
      </c>
      <c r="B19" s="55" t="inlineStr">
        <is>
          <t>Subtotal</t>
        </is>
      </c>
      <c r="C19" s="55" t="n"/>
      <c r="D19" s="27" t="n"/>
      <c r="E19" s="55" t="inlineStr">
        <is>
          <t>set</t>
        </is>
      </c>
      <c r="F19" s="55" t="n">
        <v>1</v>
      </c>
      <c r="G19" s="79" t="n"/>
      <c r="H19" s="79">
        <f>SUM(H13:H18)</f>
        <v/>
      </c>
      <c r="I19" s="55" t="n"/>
    </row>
    <row r="20" ht="19.95" customHeight="1" s="28">
      <c r="A20" s="55" t="n">
        <v>8</v>
      </c>
      <c r="B20" s="55" t="inlineStr">
        <is>
          <t>Sets Total</t>
        </is>
      </c>
      <c r="C20" s="55" t="n"/>
      <c r="D20" s="27" t="n"/>
      <c r="E20" s="55" t="inlineStr">
        <is>
          <t>set</t>
        </is>
      </c>
      <c r="F20" s="55" t="n"/>
      <c r="G20" s="79" t="n"/>
      <c r="H20" s="79">
        <f>F20*H19</f>
        <v/>
      </c>
      <c r="I20" s="55" t="n"/>
    </row>
    <row r="21" ht="59.25" customHeight="1" s="28">
      <c r="A21" s="8" t="inlineStr">
        <is>
          <t>II.</t>
        </is>
      </c>
      <c r="B21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21" s="75" t="n"/>
      <c r="D21" s="75" t="n"/>
      <c r="E21" s="75" t="n"/>
      <c r="F21" s="75" t="n"/>
      <c r="G21" s="75" t="n"/>
      <c r="H21" s="75" t="n"/>
      <c r="I21" s="27" t="n"/>
    </row>
    <row r="22" ht="40.05" customHeight="1" s="28">
      <c r="A22" s="30" t="n">
        <v>1</v>
      </c>
      <c r="B22" s="48" t="inlineStr">
        <is>
          <t>Weighing module</t>
        </is>
      </c>
      <c r="C22" s="29" t="n"/>
      <c r="D22" s="27" t="n"/>
      <c r="E22" s="48" t="inlineStr">
        <is>
          <t>pc</t>
        </is>
      </c>
      <c r="F22" s="30" t="n"/>
      <c r="G22" s="81" t="n"/>
      <c r="H22" s="81">
        <f>F22*G22</f>
        <v/>
      </c>
      <c r="I22" s="11" t="n"/>
      <c r="J22" s="14" t="n"/>
    </row>
    <row r="23" ht="27" customHeight="1" s="28">
      <c r="A23" s="11" t="n">
        <v>2</v>
      </c>
      <c r="B23" s="55" t="inlineStr">
        <is>
          <t>Junction box</t>
        </is>
      </c>
      <c r="C23" s="26" t="n"/>
      <c r="D23" s="27" t="n"/>
      <c r="E23" s="55" t="inlineStr">
        <is>
          <t>pc</t>
        </is>
      </c>
      <c r="F23" s="11" t="n"/>
      <c r="G23" s="82" t="n"/>
      <c r="H23" s="81">
        <f>F23*G23</f>
        <v/>
      </c>
      <c r="I23" s="83" t="n"/>
    </row>
    <row r="24" ht="78" customHeight="1" s="28">
      <c r="A24" s="11" t="n">
        <v>3</v>
      </c>
      <c r="B24" s="55" t="inlineStr">
        <is>
          <t>Weighing display controller</t>
        </is>
      </c>
      <c r="C24" s="26" t="n"/>
      <c r="D24" s="27" t="n"/>
      <c r="E24" s="55" t="inlineStr">
        <is>
          <t>pc</t>
        </is>
      </c>
      <c r="F24" s="11" t="n"/>
      <c r="G24" s="82" t="n"/>
      <c r="H24" s="81">
        <f>F24*G24</f>
        <v/>
      </c>
      <c r="I24" s="83" t="n"/>
    </row>
    <row r="25" ht="30" customHeight="1" s="28">
      <c r="A25" s="11" t="n">
        <v>4</v>
      </c>
      <c r="B25" s="55" t="inlineStr">
        <is>
          <t>Signal cable</t>
        </is>
      </c>
      <c r="C25" s="26" t="n"/>
      <c r="D25" s="27" t="n"/>
      <c r="E25" s="55" t="inlineStr">
        <is>
          <t>m</t>
        </is>
      </c>
      <c r="F25" s="11" t="n"/>
      <c r="G25" s="82" t="n"/>
      <c r="H25" s="81">
        <f>F25*G25</f>
        <v/>
      </c>
      <c r="I25" s="83" t="n"/>
    </row>
    <row r="26" ht="28.05" customHeight="1" s="28">
      <c r="A26" s="30" t="n">
        <v>5</v>
      </c>
      <c r="B26" s="55" t="inlineStr">
        <is>
          <t>Top adapting plate</t>
        </is>
      </c>
      <c r="C26" s="26" t="n"/>
      <c r="D26" s="27" t="n"/>
      <c r="E26" s="55" t="inlineStr">
        <is>
          <t>pc</t>
        </is>
      </c>
      <c r="F26" s="11" t="n"/>
      <c r="G26" s="82" t="n"/>
      <c r="H26" s="81">
        <f>F26*G26</f>
        <v/>
      </c>
      <c r="I26" s="11" t="n"/>
    </row>
    <row r="27" ht="28.05" customHeight="1" s="28">
      <c r="A27" s="30" t="n">
        <v>6</v>
      </c>
      <c r="B27" s="55" t="inlineStr">
        <is>
          <t>Base adapting plate</t>
        </is>
      </c>
      <c r="C27" s="26" t="n"/>
      <c r="D27" s="27" t="n"/>
      <c r="E27" s="55" t="inlineStr">
        <is>
          <t>pc</t>
        </is>
      </c>
      <c r="F27" s="11" t="n"/>
      <c r="G27" s="82" t="n"/>
      <c r="H27" s="81">
        <f>F27*G27</f>
        <v/>
      </c>
      <c r="I27" s="11" t="n"/>
    </row>
    <row r="28" ht="19.95" customHeight="1" s="28">
      <c r="A28" s="11" t="n">
        <v>7</v>
      </c>
      <c r="B28" s="55" t="inlineStr">
        <is>
          <t>Subtotal</t>
        </is>
      </c>
      <c r="C28" s="30" t="n"/>
      <c r="D28" s="27" t="n"/>
      <c r="E28" s="55" t="inlineStr">
        <is>
          <t>set</t>
        </is>
      </c>
      <c r="F28" s="30" t="n">
        <v>1</v>
      </c>
      <c r="G28" s="82" t="n"/>
      <c r="H28" s="82">
        <f>SUM(H22:H27)</f>
        <v/>
      </c>
      <c r="I28" s="83" t="n"/>
    </row>
    <row r="29" ht="19.95" customHeight="1" s="28">
      <c r="A29" s="11" t="n">
        <v>8</v>
      </c>
      <c r="B29" s="55" t="inlineStr">
        <is>
          <t>Sets Total</t>
        </is>
      </c>
      <c r="C29" s="30" t="n"/>
      <c r="D29" s="27" t="n"/>
      <c r="E29" s="55" t="inlineStr">
        <is>
          <t>set</t>
        </is>
      </c>
      <c r="F29" s="30" t="n"/>
      <c r="G29" s="82" t="n"/>
      <c r="H29" s="82">
        <f>H28*F29</f>
        <v/>
      </c>
      <c r="I29" s="83" t="n"/>
    </row>
    <row r="30" ht="59.25" customHeight="1" s="28">
      <c r="A30" s="8" t="inlineStr">
        <is>
          <t>III.</t>
        </is>
      </c>
      <c r="B30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30" s="75" t="n"/>
      <c r="D30" s="75" t="n"/>
      <c r="E30" s="75" t="n"/>
      <c r="F30" s="75" t="n"/>
      <c r="G30" s="75" t="n"/>
      <c r="H30" s="75" t="n"/>
      <c r="I30" s="27" t="n"/>
    </row>
    <row r="31" ht="40.05" customHeight="1" s="28">
      <c r="A31" s="30" t="n">
        <v>1</v>
      </c>
      <c r="B31" s="48" t="inlineStr">
        <is>
          <t>Weighing module</t>
        </is>
      </c>
      <c r="C31" s="29" t="n"/>
      <c r="D31" s="27" t="n"/>
      <c r="E31" s="48" t="inlineStr">
        <is>
          <t>pc</t>
        </is>
      </c>
      <c r="F31" s="30" t="n"/>
      <c r="G31" s="81" t="n"/>
      <c r="H31" s="81">
        <f>F31*G31</f>
        <v/>
      </c>
      <c r="I31" s="11" t="n"/>
      <c r="J31" s="14" t="n"/>
    </row>
    <row r="32" ht="27" customHeight="1" s="28">
      <c r="A32" s="11" t="n">
        <v>2</v>
      </c>
      <c r="B32" s="55" t="inlineStr">
        <is>
          <t>Junction box</t>
        </is>
      </c>
      <c r="C32" s="26" t="n"/>
      <c r="D32" s="27" t="n"/>
      <c r="E32" s="55" t="inlineStr">
        <is>
          <t>pc</t>
        </is>
      </c>
      <c r="F32" s="11" t="n"/>
      <c r="G32" s="82" t="n"/>
      <c r="H32" s="81">
        <f>F32*G32</f>
        <v/>
      </c>
      <c r="I32" s="83" t="n"/>
    </row>
    <row r="33" ht="78" customHeight="1" s="28">
      <c r="A33" s="11" t="n">
        <v>3</v>
      </c>
      <c r="B33" s="55" t="inlineStr">
        <is>
          <t>Weighing display controller</t>
        </is>
      </c>
      <c r="C33" s="26" t="n"/>
      <c r="D33" s="27" t="n"/>
      <c r="E33" s="55" t="inlineStr">
        <is>
          <t>pc</t>
        </is>
      </c>
      <c r="F33" s="11" t="n"/>
      <c r="G33" s="82" t="n"/>
      <c r="H33" s="81">
        <f>F33*G33</f>
        <v/>
      </c>
      <c r="I33" s="83" t="n"/>
    </row>
    <row r="34" ht="30" customHeight="1" s="28">
      <c r="A34" s="11" t="n">
        <v>4</v>
      </c>
      <c r="B34" s="55" t="inlineStr">
        <is>
          <t>Signal cable</t>
        </is>
      </c>
      <c r="C34" s="26" t="n"/>
      <c r="D34" s="27" t="n"/>
      <c r="E34" s="55" t="inlineStr">
        <is>
          <t>m</t>
        </is>
      </c>
      <c r="F34" s="11" t="n"/>
      <c r="G34" s="82" t="n"/>
      <c r="H34" s="81">
        <f>F34*G34</f>
        <v/>
      </c>
      <c r="I34" s="83" t="n"/>
    </row>
    <row r="35" ht="28.05" customHeight="1" s="28">
      <c r="A35" s="30" t="n">
        <v>5</v>
      </c>
      <c r="B35" s="55" t="inlineStr">
        <is>
          <t>Top adapting plate</t>
        </is>
      </c>
      <c r="C35" s="26" t="n"/>
      <c r="D35" s="27" t="n"/>
      <c r="E35" s="55" t="inlineStr">
        <is>
          <t>pc</t>
        </is>
      </c>
      <c r="F35" s="11" t="n"/>
      <c r="G35" s="82" t="n"/>
      <c r="H35" s="81">
        <f>F35*G35</f>
        <v/>
      </c>
      <c r="I35" s="11" t="n"/>
    </row>
    <row r="36" ht="28.05" customHeight="1" s="28">
      <c r="A36" s="30" t="n">
        <v>6</v>
      </c>
      <c r="B36" s="55" t="inlineStr">
        <is>
          <t>Base adapting plate</t>
        </is>
      </c>
      <c r="C36" s="26" t="n"/>
      <c r="D36" s="27" t="n"/>
      <c r="E36" s="55" t="inlineStr">
        <is>
          <t>pc</t>
        </is>
      </c>
      <c r="F36" s="11" t="n"/>
      <c r="G36" s="82" t="n"/>
      <c r="H36" s="81">
        <f>F36*G36</f>
        <v/>
      </c>
      <c r="I36" s="11" t="n"/>
    </row>
    <row r="37" ht="19.95" customHeight="1" s="28">
      <c r="A37" s="11" t="n">
        <v>7</v>
      </c>
      <c r="B37" s="55" t="inlineStr">
        <is>
          <t>Subtotal</t>
        </is>
      </c>
      <c r="C37" s="30" t="n"/>
      <c r="D37" s="27" t="n"/>
      <c r="E37" s="55" t="inlineStr">
        <is>
          <t>set</t>
        </is>
      </c>
      <c r="F37" s="30" t="n">
        <v>1</v>
      </c>
      <c r="G37" s="82" t="n"/>
      <c r="H37" s="82">
        <f>SUM(H31:H36)</f>
        <v/>
      </c>
      <c r="I37" s="83" t="n"/>
    </row>
    <row r="38" ht="19.95" customHeight="1" s="28">
      <c r="A38" s="11" t="n">
        <v>8</v>
      </c>
      <c r="B38" s="55" t="inlineStr">
        <is>
          <t>Sets Total</t>
        </is>
      </c>
      <c r="C38" s="30" t="n"/>
      <c r="D38" s="27" t="n"/>
      <c r="E38" s="55" t="inlineStr">
        <is>
          <t>set</t>
        </is>
      </c>
      <c r="F38" s="30" t="n"/>
      <c r="G38" s="82" t="n"/>
      <c r="H38" s="82">
        <f>H37*F38</f>
        <v/>
      </c>
      <c r="I38" s="83" t="n"/>
    </row>
    <row r="39" ht="59.25" customHeight="1" s="28">
      <c r="A39" s="8" t="inlineStr">
        <is>
          <t>IV.</t>
        </is>
      </c>
      <c r="B39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39" s="75" t="n"/>
      <c r="D39" s="75" t="n"/>
      <c r="E39" s="75" t="n"/>
      <c r="F39" s="75" t="n"/>
      <c r="G39" s="75" t="n"/>
      <c r="H39" s="75" t="n"/>
      <c r="I39" s="27" t="n"/>
    </row>
    <row r="40" ht="40.05" customHeight="1" s="28">
      <c r="A40" s="30" t="n">
        <v>1</v>
      </c>
      <c r="B40" s="48" t="inlineStr">
        <is>
          <t>Weighing module</t>
        </is>
      </c>
      <c r="C40" s="29" t="n"/>
      <c r="D40" s="27" t="n"/>
      <c r="E40" s="48" t="inlineStr">
        <is>
          <t>pc</t>
        </is>
      </c>
      <c r="F40" s="30" t="n"/>
      <c r="G40" s="81" t="n"/>
      <c r="H40" s="81">
        <f>F40*G40</f>
        <v/>
      </c>
      <c r="I40" s="11" t="n"/>
      <c r="J40" s="14" t="n"/>
    </row>
    <row r="41" ht="27" customHeight="1" s="28">
      <c r="A41" s="11" t="n">
        <v>2</v>
      </c>
      <c r="B41" s="55" t="inlineStr">
        <is>
          <t>Junction box</t>
        </is>
      </c>
      <c r="C41" s="26" t="n"/>
      <c r="D41" s="27" t="n"/>
      <c r="E41" s="55" t="inlineStr">
        <is>
          <t>pc</t>
        </is>
      </c>
      <c r="F41" s="11" t="n"/>
      <c r="G41" s="82" t="n"/>
      <c r="H41" s="81">
        <f>F41*G41</f>
        <v/>
      </c>
      <c r="I41" s="83" t="n"/>
    </row>
    <row r="42" ht="78" customHeight="1" s="28">
      <c r="A42" s="11" t="n">
        <v>3</v>
      </c>
      <c r="B42" s="55" t="inlineStr">
        <is>
          <t>Weighing display controller</t>
        </is>
      </c>
      <c r="C42" s="26" t="n"/>
      <c r="D42" s="27" t="n"/>
      <c r="E42" s="55" t="inlineStr">
        <is>
          <t>pc</t>
        </is>
      </c>
      <c r="F42" s="11" t="n"/>
      <c r="G42" s="82" t="n"/>
      <c r="H42" s="81">
        <f>F42*G42</f>
        <v/>
      </c>
      <c r="I42" s="83" t="n"/>
    </row>
    <row r="43" ht="30" customHeight="1" s="28">
      <c r="A43" s="11" t="n">
        <v>4</v>
      </c>
      <c r="B43" s="55" t="inlineStr">
        <is>
          <t>Signal cable</t>
        </is>
      </c>
      <c r="C43" s="26" t="n"/>
      <c r="D43" s="27" t="n"/>
      <c r="E43" s="55" t="inlineStr">
        <is>
          <t>m</t>
        </is>
      </c>
      <c r="F43" s="11" t="n"/>
      <c r="G43" s="82" t="n"/>
      <c r="H43" s="81">
        <f>F43*G43</f>
        <v/>
      </c>
      <c r="I43" s="83" t="n"/>
    </row>
    <row r="44" ht="28.05" customHeight="1" s="28">
      <c r="A44" s="30" t="n">
        <v>5</v>
      </c>
      <c r="B44" s="55" t="inlineStr">
        <is>
          <t>Top adapting plate</t>
        </is>
      </c>
      <c r="C44" s="26" t="n"/>
      <c r="D44" s="27" t="n"/>
      <c r="E44" s="55" t="inlineStr">
        <is>
          <t>pc</t>
        </is>
      </c>
      <c r="F44" s="11" t="n"/>
      <c r="G44" s="82" t="n"/>
      <c r="H44" s="81">
        <f>F44*G44</f>
        <v/>
      </c>
      <c r="I44" s="11" t="n"/>
    </row>
    <row r="45" ht="28.05" customHeight="1" s="28">
      <c r="A45" s="30" t="n">
        <v>6</v>
      </c>
      <c r="B45" s="55" t="inlineStr">
        <is>
          <t>Base adapting plate</t>
        </is>
      </c>
      <c r="C45" s="26" t="n"/>
      <c r="D45" s="27" t="n"/>
      <c r="E45" s="55" t="inlineStr">
        <is>
          <t>pc</t>
        </is>
      </c>
      <c r="F45" s="11" t="n"/>
      <c r="G45" s="82" t="n"/>
      <c r="H45" s="81">
        <f>F45*G45</f>
        <v/>
      </c>
      <c r="I45" s="11" t="n"/>
    </row>
    <row r="46" ht="19.95" customHeight="1" s="28">
      <c r="A46" s="11" t="n">
        <v>7</v>
      </c>
      <c r="B46" s="55" t="inlineStr">
        <is>
          <t>Subtotal</t>
        </is>
      </c>
      <c r="C46" s="30" t="n"/>
      <c r="D46" s="27" t="n"/>
      <c r="E46" s="55" t="inlineStr">
        <is>
          <t>set</t>
        </is>
      </c>
      <c r="F46" s="30" t="n">
        <v>1</v>
      </c>
      <c r="G46" s="82" t="n"/>
      <c r="H46" s="82">
        <f>SUM(H40:H45)</f>
        <v/>
      </c>
      <c r="I46" s="83" t="n"/>
    </row>
    <row r="47" ht="19.95" customHeight="1" s="28">
      <c r="A47" s="11" t="n">
        <v>8</v>
      </c>
      <c r="B47" s="55" t="inlineStr">
        <is>
          <t>Sets Total</t>
        </is>
      </c>
      <c r="C47" s="30" t="n"/>
      <c r="D47" s="27" t="n"/>
      <c r="E47" s="55" t="inlineStr">
        <is>
          <t>set</t>
        </is>
      </c>
      <c r="F47" s="30" t="n"/>
      <c r="G47" s="82" t="n"/>
      <c r="H47" s="82">
        <f>H46*F47</f>
        <v/>
      </c>
      <c r="I47" s="83" t="n"/>
    </row>
    <row r="48" ht="59.25" customHeight="1" s="28">
      <c r="A48" s="8" t="inlineStr">
        <is>
          <t>V.</t>
        </is>
      </c>
      <c r="B48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48" s="75" t="n"/>
      <c r="D48" s="75" t="n"/>
      <c r="E48" s="75" t="n"/>
      <c r="F48" s="75" t="n"/>
      <c r="G48" s="75" t="n"/>
      <c r="H48" s="75" t="n"/>
      <c r="I48" s="27" t="n"/>
    </row>
    <row r="49" ht="40.05" customHeight="1" s="28">
      <c r="A49" s="30" t="n">
        <v>1</v>
      </c>
      <c r="B49" s="48" t="inlineStr">
        <is>
          <t>Weighing module</t>
        </is>
      </c>
      <c r="C49" s="29" t="n"/>
      <c r="D49" s="27" t="n"/>
      <c r="E49" s="48" t="inlineStr">
        <is>
          <t>pc</t>
        </is>
      </c>
      <c r="F49" s="30" t="n"/>
      <c r="G49" s="81" t="n"/>
      <c r="H49" s="81">
        <f>F49*G49</f>
        <v/>
      </c>
      <c r="I49" s="11" t="n"/>
    </row>
    <row r="50" ht="27" customHeight="1" s="28">
      <c r="A50" s="11" t="n">
        <v>2</v>
      </c>
      <c r="B50" s="55" t="inlineStr">
        <is>
          <t>Junction box</t>
        </is>
      </c>
      <c r="C50" s="26" t="n"/>
      <c r="D50" s="27" t="n"/>
      <c r="E50" s="55" t="inlineStr">
        <is>
          <t>pc</t>
        </is>
      </c>
      <c r="F50" s="11" t="n"/>
      <c r="G50" s="82" t="n"/>
      <c r="H50" s="81">
        <f>F50*G50</f>
        <v/>
      </c>
      <c r="I50" s="83" t="n"/>
    </row>
    <row r="51" ht="78" customHeight="1" s="28">
      <c r="A51" s="11" t="n">
        <v>3</v>
      </c>
      <c r="B51" s="55" t="inlineStr">
        <is>
          <t>Weighing display controller</t>
        </is>
      </c>
      <c r="C51" s="26" t="n"/>
      <c r="D51" s="27" t="n"/>
      <c r="E51" s="55" t="inlineStr">
        <is>
          <t>pc</t>
        </is>
      </c>
      <c r="F51" s="11" t="n"/>
      <c r="G51" s="82" t="n"/>
      <c r="H51" s="81">
        <f>F51*G51</f>
        <v/>
      </c>
      <c r="I51" s="83" t="n"/>
    </row>
    <row r="52" ht="30" customHeight="1" s="28">
      <c r="A52" s="11" t="n">
        <v>4</v>
      </c>
      <c r="B52" s="55" t="inlineStr">
        <is>
          <t>Signal cable</t>
        </is>
      </c>
      <c r="C52" s="26" t="n"/>
      <c r="D52" s="27" t="n"/>
      <c r="E52" s="55" t="inlineStr">
        <is>
          <t>m</t>
        </is>
      </c>
      <c r="F52" s="11" t="n"/>
      <c r="G52" s="82" t="n"/>
      <c r="H52" s="81">
        <f>F52*G52</f>
        <v/>
      </c>
      <c r="I52" s="83" t="n"/>
    </row>
    <row r="53" ht="28.05" customHeight="1" s="28">
      <c r="A53" s="30" t="n">
        <v>5</v>
      </c>
      <c r="B53" s="55" t="inlineStr">
        <is>
          <t>Top adapting plate</t>
        </is>
      </c>
      <c r="C53" s="26" t="n"/>
      <c r="D53" s="27" t="n"/>
      <c r="E53" s="55" t="inlineStr">
        <is>
          <t>pc</t>
        </is>
      </c>
      <c r="F53" s="11" t="n"/>
      <c r="G53" s="82" t="n"/>
      <c r="H53" s="81">
        <f>F53*G53</f>
        <v/>
      </c>
      <c r="I53" s="11" t="n"/>
    </row>
    <row r="54" ht="28.05" customHeight="1" s="28">
      <c r="A54" s="30" t="n">
        <v>6</v>
      </c>
      <c r="B54" s="55" t="inlineStr">
        <is>
          <t>Base adapting plate</t>
        </is>
      </c>
      <c r="C54" s="26" t="n"/>
      <c r="D54" s="27" t="n"/>
      <c r="E54" s="55" t="inlineStr">
        <is>
          <t>pc</t>
        </is>
      </c>
      <c r="F54" s="11" t="n"/>
      <c r="G54" s="82" t="n"/>
      <c r="H54" s="81">
        <f>F54*G54</f>
        <v/>
      </c>
      <c r="I54" s="11" t="n"/>
    </row>
    <row r="55" ht="19.95" customHeight="1" s="28">
      <c r="A55" s="11" t="n">
        <v>7</v>
      </c>
      <c r="B55" s="55" t="inlineStr">
        <is>
          <t>Subtotal</t>
        </is>
      </c>
      <c r="C55" s="30" t="n"/>
      <c r="D55" s="27" t="n"/>
      <c r="E55" s="55" t="inlineStr">
        <is>
          <t>set</t>
        </is>
      </c>
      <c r="F55" s="30" t="n">
        <v>1</v>
      </c>
      <c r="G55" s="82" t="n"/>
      <c r="H55" s="82">
        <f>SUM(H49:H54)</f>
        <v/>
      </c>
      <c r="I55" s="83" t="n"/>
    </row>
    <row r="56" ht="19.95" customHeight="1" s="28">
      <c r="A56" s="11" t="n">
        <v>8</v>
      </c>
      <c r="B56" s="55" t="inlineStr">
        <is>
          <t>Sets Total</t>
        </is>
      </c>
      <c r="C56" s="30" t="n"/>
      <c r="D56" s="27" t="n"/>
      <c r="E56" s="55" t="inlineStr">
        <is>
          <t>set</t>
        </is>
      </c>
      <c r="F56" s="30" t="n"/>
      <c r="G56" s="82" t="n"/>
      <c r="H56" s="82">
        <f>H55*F56</f>
        <v/>
      </c>
      <c r="I56" s="83" t="n"/>
    </row>
    <row r="57" ht="59.25" customHeight="1" s="28">
      <c r="A57" s="8" t="inlineStr">
        <is>
          <t>VI.</t>
        </is>
      </c>
      <c r="B57" s="45" t="inlineStr">
        <is>
          <t>Equipment name:  , S/N:  ,   supports,   sets. Equipment tare-weight:  t, material weight:  t, total weight  t, rated capacity:  t, display interval:  kg. Controller, 4-20 mA analog output, 220 VAC. Ex-proof environment.</t>
        </is>
      </c>
      <c r="C57" s="75" t="n"/>
      <c r="D57" s="75" t="n"/>
      <c r="E57" s="75" t="n"/>
      <c r="F57" s="75" t="n"/>
      <c r="G57" s="75" t="n"/>
      <c r="H57" s="75" t="n"/>
      <c r="I57" s="27" t="n"/>
    </row>
    <row r="58" ht="40.05" customHeight="1" s="28">
      <c r="A58" s="30" t="n">
        <v>1</v>
      </c>
      <c r="B58" s="48" t="inlineStr">
        <is>
          <t>Weighing module</t>
        </is>
      </c>
      <c r="C58" s="29" t="n"/>
      <c r="D58" s="27" t="n"/>
      <c r="E58" s="48" t="inlineStr">
        <is>
          <t>pc</t>
        </is>
      </c>
      <c r="F58" s="30" t="n"/>
      <c r="G58" s="81" t="n"/>
      <c r="H58" s="81">
        <f>F58*G58</f>
        <v/>
      </c>
      <c r="I58" s="11" t="n"/>
    </row>
    <row r="59" ht="27" customHeight="1" s="28">
      <c r="A59" s="11" t="n">
        <v>2</v>
      </c>
      <c r="B59" s="55" t="inlineStr">
        <is>
          <t>Junction box</t>
        </is>
      </c>
      <c r="C59" s="26" t="n"/>
      <c r="D59" s="27" t="n"/>
      <c r="E59" s="55" t="inlineStr">
        <is>
          <t>pc</t>
        </is>
      </c>
      <c r="F59" s="11" t="n"/>
      <c r="G59" s="82" t="n"/>
      <c r="H59" s="81">
        <f>F59*G59</f>
        <v/>
      </c>
      <c r="I59" s="83" t="n"/>
    </row>
    <row r="60" ht="78" customHeight="1" s="28">
      <c r="A60" s="11" t="n">
        <v>3</v>
      </c>
      <c r="B60" s="55" t="inlineStr">
        <is>
          <t>Weighing display controller</t>
        </is>
      </c>
      <c r="C60" s="26" t="n"/>
      <c r="D60" s="27" t="n"/>
      <c r="E60" s="55" t="inlineStr">
        <is>
          <t>pc</t>
        </is>
      </c>
      <c r="F60" s="11" t="n"/>
      <c r="G60" s="82" t="n"/>
      <c r="H60" s="81">
        <f>F60*G60</f>
        <v/>
      </c>
      <c r="I60" s="83" t="n"/>
    </row>
    <row r="61" ht="30" customHeight="1" s="28">
      <c r="A61" s="11" t="n">
        <v>4</v>
      </c>
      <c r="B61" s="55" t="inlineStr">
        <is>
          <t>Signal cable</t>
        </is>
      </c>
      <c r="C61" s="26" t="n"/>
      <c r="D61" s="27" t="n"/>
      <c r="E61" s="55" t="inlineStr">
        <is>
          <t>m</t>
        </is>
      </c>
      <c r="F61" s="11" t="n"/>
      <c r="G61" s="82" t="n"/>
      <c r="H61" s="81">
        <f>F61*G61</f>
        <v/>
      </c>
      <c r="I61" s="83" t="n"/>
    </row>
    <row r="62" ht="28.05" customHeight="1" s="28">
      <c r="A62" s="30" t="n">
        <v>5</v>
      </c>
      <c r="B62" s="55" t="inlineStr">
        <is>
          <t>Top adapting plate</t>
        </is>
      </c>
      <c r="C62" s="26" t="n"/>
      <c r="D62" s="27" t="n"/>
      <c r="E62" s="55" t="inlineStr">
        <is>
          <t>pc</t>
        </is>
      </c>
      <c r="F62" s="11" t="n"/>
      <c r="G62" s="82" t="n"/>
      <c r="H62" s="81">
        <f>F62*G62</f>
        <v/>
      </c>
      <c r="I62" s="11" t="n"/>
    </row>
    <row r="63" ht="28.05" customHeight="1" s="28">
      <c r="A63" s="30" t="n">
        <v>6</v>
      </c>
      <c r="B63" s="55" t="inlineStr">
        <is>
          <t>Base adapting plate</t>
        </is>
      </c>
      <c r="C63" s="26" t="n"/>
      <c r="D63" s="27" t="n"/>
      <c r="E63" s="55" t="inlineStr">
        <is>
          <t>pc</t>
        </is>
      </c>
      <c r="F63" s="11" t="n"/>
      <c r="G63" s="82" t="n"/>
      <c r="H63" s="81">
        <f>F63*G63</f>
        <v/>
      </c>
      <c r="I63" s="11" t="n"/>
    </row>
    <row r="64" ht="19.95" customHeight="1" s="28">
      <c r="A64" s="11" t="n">
        <v>7</v>
      </c>
      <c r="B64" s="55" t="inlineStr">
        <is>
          <t>Subtotal</t>
        </is>
      </c>
      <c r="C64" s="30" t="n"/>
      <c r="D64" s="27" t="n"/>
      <c r="E64" s="55" t="inlineStr">
        <is>
          <t>set</t>
        </is>
      </c>
      <c r="F64" s="30" t="n">
        <v>1</v>
      </c>
      <c r="G64" s="82" t="n"/>
      <c r="H64" s="82">
        <f>SUM(H58:H63)</f>
        <v/>
      </c>
      <c r="I64" s="83" t="n"/>
    </row>
    <row r="65" ht="19.95" customHeight="1" s="28">
      <c r="A65" s="11" t="n">
        <v>8</v>
      </c>
      <c r="B65" s="55" t="inlineStr">
        <is>
          <t>Sets Total</t>
        </is>
      </c>
      <c r="C65" s="30" t="n"/>
      <c r="D65" s="27" t="n"/>
      <c r="E65" s="55" t="inlineStr">
        <is>
          <t>set</t>
        </is>
      </c>
      <c r="F65" s="30" t="n"/>
      <c r="G65" s="82" t="n"/>
      <c r="H65" s="82">
        <f>H64*F65</f>
        <v/>
      </c>
      <c r="I65" s="83" t="n"/>
    </row>
    <row r="66" ht="19.95" customFormat="1" customHeight="1" s="2">
      <c r="A66" s="57" t="inlineStr">
        <is>
          <t>A</t>
        </is>
      </c>
      <c r="B66" s="57" t="inlineStr">
        <is>
          <t>Equipment Total</t>
        </is>
      </c>
      <c r="C66" s="57" t="n"/>
      <c r="D66" s="27" t="n"/>
      <c r="E66" s="57" t="inlineStr">
        <is>
          <t>set</t>
        </is>
      </c>
      <c r="F66" s="57">
        <f>SUMIF(B12:B66,"Sets Total",F12:F66)</f>
        <v/>
      </c>
      <c r="G66" s="84" t="n"/>
      <c r="H66" s="84">
        <f>SUMIF(B12:B66,"Sets Total",H12:H66)</f>
        <v/>
      </c>
      <c r="I66" s="85" t="n"/>
    </row>
    <row r="67" ht="34.05" customHeight="1" s="28">
      <c r="A67" s="40" t="inlineStr">
        <is>
          <t>Grand Total:</t>
        </is>
      </c>
      <c r="B67" s="27" t="n"/>
      <c r="C67" s="59">
        <f>IF(H67=0,"","SAY TOTAL USD "&amp;TRIM(IF(INT(ROUND(H67,2))=0,"ZERO",CHOOSE(INT(INT(ROUND(H67,2)/1000000)/100)+1,"","ONE ","TWO ","THREE ","FOUR ","FIVE ","SIX ","SEVEN ","EIGHT ","NINE ")&amp;IF(INT(INT(ROUND(H67,2)/1000000)/100)&gt;0,"HUNDRED ","")&amp;IF(MOD(INT(ROUND(H67,2)/1000000),100)&gt;0,IF(MOD(INT(ROUND(H67,2)/1000000),100)&lt;20,CHOOSE(MOD(INT(ROUND(H67,2)/1000000),100)+1,"","ONE ","TWO ","THREE ","FOUR ","FIVE ","SIX ","SEVEN ","EIGHT ","NINE ","TEN ","ELEVEN ","TWELVE ","THIRTEEN ","FOURTEEN ","FIFTEEN ","SIXTEEN ","SEVENTEEN ","EIGHTEEN ","NINETEEN "),CHOOSE(INT(MOD(INT(ROUND(H67,2)/1000000),100)/10),"","TWENTY ","THIRTY ","FORTY ","FIFTY ","SIXTY ","SEVENTY ","EIGHTY ","NINETY ")&amp;CHOOSE(MOD(INT(ROUND(H67,2)/1000000),10)+1,"","ONE ","TWO ","THREE ","FOUR ","FIVE ","SIX ","SEVEN ","EIGHT ","NINE ")),"")&amp;IF(INT(ROUND(H67,2)/1000000)&gt;0,"MILLION ","")&amp;CHOOSE(INT(INT(MOD(ROUND(H67,2),1000000)/1000)/100)+1,"","ONE ","TWO ","THREE ","FOUR ","FIVE ","SIX ","SEVEN ","EIGHT ","NINE ")&amp;IF(INT(INT(MOD(ROUND(H67,2),1000000)/1000)/100)&gt;0,"HUNDRED ","")&amp;IF(MOD(INT(MOD(ROUND(H67,2),1000000)/1000),100)&gt;0,IF(MOD(INT(MOD(ROUND(H67,2),1000000)/1000),100)&lt;20,CHOOSE(MOD(INT(MOD(ROUND(H67,2),1000000)/1000),100)+1,"","ONE ","TWO ","THREE ","FOUR ","FIVE ","SIX ","SEVEN ","EIGHT ","NINE ","TEN ","ELEVEN ","TWELVE ","THIRTEEN ","FOURTEEN ","FIFTEEN ","SIXTEEN ","SEVENTEEN ","EIGHTEEN ","NINETEEN "),CHOOSE(INT(MOD(INT(MOD(ROUND(H67,2),1000000)/1000),100)/10),"","TWENTY ","THIRTY ","FORTY ","FIFTY ","SIXTY ","SEVENTY ","EIGHTY ","NINETY ")&amp;CHOOSE(MOD(INT(MOD(ROUND(H67,2),1000000)/1000),10)+1,"","ONE ","TWO ","THREE ","FOUR ","FIVE ","SIX ","SEVEN ","EIGHT ","NINE ")),"")&amp;IF(INT(MOD(ROUND(H67,2),1000000)/1000)&gt;0,"THOUSAND ","")&amp;CHOOSE(INT(MOD(ROUND(H67,2),1000)/100)+1,"","ONE ","TWO ","THREE ","FOUR ","FIVE ","SIX ","SEVEN ","EIGHT ","NINE ")&amp;IF(INT(MOD(ROUND(H67,2),1000)/100)&gt;0,"HUNDRED ","")&amp;IF(MOD(MOD(ROUND(H67,2),1000),100)&gt;0,IF(MOD(MOD(ROUND(H67,2),1000),100)&lt;20,CHOOSE(MOD(MOD(ROUND(H67,2),1000),100)+1,"","ONE ","TWO ","THREE ","FOUR ","FIVE ","SIX ","SEVEN ","EIGHT ","NINE ","TEN ","ELEVEN ","TWELVE ","THIRTEEN ","FOURTEEN ","FIFTEEN ","SIXTEEN ","SEVENTEEN ","EIGHTEEN ","NINETEEN "),CHOOSE(INT(MOD(MOD(ROUND(H67,2),1000),100)/10),"","TWENTY ","THIRTY ","FORTY ","FIFTY ","SIXTY ","SEVENTY ","EIGHTY ","NINETY ")&amp;CHOOSE(MOD(MOD(ROUND(H67,2),1000),10)+1,"","ONE ","TWO ","THREE ","FOUR ","FIVE ","SIX ","SEVEN ","EIGHT ","NINE ")),"")))&amp;IF(MOD(ROUND(H67*100,0),100)=0," ONLY"," AND "&amp;TEXT(MOD(ROUND(H67*100,0),100),"00")&amp;"/100 ONLY"))</f>
        <v/>
      </c>
      <c r="D67" s="75" t="n"/>
      <c r="E67" s="75" t="n"/>
      <c r="F67" s="27" t="n"/>
      <c r="G67" s="61" t="inlineStr">
        <is>
          <t>USD:</t>
        </is>
      </c>
      <c r="H67" s="86">
        <f>H66</f>
        <v/>
      </c>
      <c r="I67" s="27" t="n"/>
    </row>
    <row r="68" ht="18" customHeight="1" s="28">
      <c r="A68" s="63" t="inlineStr">
        <is>
          <t>TERMS &amp; CONDITIONS:</t>
        </is>
      </c>
      <c r="B68" s="16" t="n"/>
      <c r="C68" s="16" t="n"/>
      <c r="D68" s="16" t="n"/>
      <c r="E68" s="16" t="n"/>
      <c r="F68" s="16" t="n"/>
      <c r="G68" s="16" t="n"/>
      <c r="H68" s="16" t="n"/>
      <c r="I68" s="21" t="n"/>
    </row>
    <row r="69" ht="33" customHeight="1" s="28">
      <c r="A69" s="17" t="n"/>
      <c r="B69" s="64" t="inlineStr">
        <is>
          <t>1.Packing: Cartons
   包装：纸箱</t>
        </is>
      </c>
      <c r="I69" s="87" t="n"/>
      <c r="J69" s="22" t="n"/>
      <c r="K69" s="22" t="n"/>
    </row>
    <row r="70" ht="30.6" customHeight="1" s="28">
      <c r="A70" s="17" t="n"/>
      <c r="B70" s="64" t="inlineStr">
        <is>
          <t>2.Payment：100% T/T
   支付方式：100% T/T</t>
        </is>
      </c>
      <c r="I70" s="87" t="n"/>
      <c r="J70" s="22" t="n"/>
      <c r="K70" s="22" t="n"/>
    </row>
    <row r="71" ht="33.6" customHeight="1" s="28">
      <c r="A71" s="18" t="n"/>
      <c r="B71" s="67" t="inlineStr">
        <is>
          <t>3.Warranty：12 Months against delivery date；
     质保：交货后起算12个月</t>
        </is>
      </c>
      <c r="I71" s="87" t="n"/>
      <c r="J71" s="23" t="n"/>
      <c r="K71" s="23" t="n"/>
    </row>
    <row r="72" ht="54.6" customHeight="1" s="28">
      <c r="A72" s="17" t="n"/>
      <c r="B72" s="68" t="inlineStr">
        <is>
          <t>4.Delivery：Dispatch within 30 working days after receiving full payment, freight charge within China (non-remote area) included.
交货：收到全款后30个工作日内发货，价格含国内非偏远地区运费。</t>
        </is>
      </c>
      <c r="I72" s="87" t="n"/>
      <c r="J72" s="24" t="n"/>
      <c r="K72" s="24" t="n"/>
    </row>
    <row r="73" ht="33.6" customHeight="1" s="28">
      <c r="A73" s="17" t="n"/>
      <c r="B73" s="69" t="inlineStr">
        <is>
          <t>5.If verification is required, it shall be responsible by the side of request.
   如需检定，需方自行负责</t>
        </is>
      </c>
      <c r="I73" s="87" t="n"/>
      <c r="J73" s="22" t="n"/>
      <c r="K73" s="22" t="n"/>
    </row>
    <row r="74" ht="30.6" customHeight="1" s="28">
      <c r="A74" s="17" t="n"/>
      <c r="B74" s="68" t="inlineStr">
        <is>
          <t>6.Quotation vaildity：14 days
   报价有效期：14天</t>
        </is>
      </c>
      <c r="I74" s="87" t="n"/>
    </row>
    <row r="75" ht="32.4" customHeight="1" s="28">
      <c r="A75" s="19" t="n"/>
      <c r="B75" s="73" t="inlineStr">
        <is>
          <t>7.Quotation above are exclusive of ramp or adapting plates.
   以上报价不包含引坡，以及安装过渡板</t>
        </is>
      </c>
      <c r="C75" s="32" t="n"/>
      <c r="D75" s="32" t="n"/>
      <c r="E75" s="32" t="n"/>
      <c r="F75" s="32" t="n"/>
      <c r="G75" s="32" t="n"/>
      <c r="H75" s="32" t="n"/>
      <c r="I75" s="88" t="n"/>
    </row>
  </sheetData>
  <mergeCells count="68">
    <mergeCell ref="C34:D34"/>
    <mergeCell ref="H67:I67"/>
    <mergeCell ref="C24:D24"/>
    <mergeCell ref="C62:D62"/>
    <mergeCell ref="B75:I75"/>
    <mergeCell ref="C15:D15"/>
    <mergeCell ref="C33:D33"/>
    <mergeCell ref="C42:D42"/>
    <mergeCell ref="C58:D58"/>
    <mergeCell ref="B72:I72"/>
    <mergeCell ref="C14:D14"/>
    <mergeCell ref="C45:D45"/>
    <mergeCell ref="C67:F67"/>
    <mergeCell ref="C26:D26"/>
    <mergeCell ref="C64:D64"/>
    <mergeCell ref="A1:B3"/>
    <mergeCell ref="B71:I71"/>
    <mergeCell ref="C35:D35"/>
    <mergeCell ref="B12:I12"/>
    <mergeCell ref="C20:D20"/>
    <mergeCell ref="B70:I70"/>
    <mergeCell ref="B21:I21"/>
    <mergeCell ref="C29:D29"/>
    <mergeCell ref="C47:D47"/>
    <mergeCell ref="C16:D16"/>
    <mergeCell ref="B39:I39"/>
    <mergeCell ref="B48:I48"/>
    <mergeCell ref="C54:D54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A4:I4"/>
    <mergeCell ref="C56:D56"/>
    <mergeCell ref="B57:I57"/>
    <mergeCell ref="C59:D59"/>
    <mergeCell ref="B73:I73"/>
    <mergeCell ref="C43:D43"/>
    <mergeCell ref="C46:D46"/>
    <mergeCell ref="C60:D60"/>
    <mergeCell ref="B69:I69"/>
    <mergeCell ref="C11:D11"/>
    <mergeCell ref="C51:D51"/>
    <mergeCell ref="C27:D27"/>
    <mergeCell ref="C36:D36"/>
    <mergeCell ref="C61:D61"/>
    <mergeCell ref="C52:D52"/>
    <mergeCell ref="C17:D17"/>
    <mergeCell ref="C23:D23"/>
    <mergeCell ref="B74:I74"/>
    <mergeCell ref="B30:I30"/>
    <mergeCell ref="C32:D32"/>
    <mergeCell ref="C38:D38"/>
    <mergeCell ref="C19:D19"/>
    <mergeCell ref="C37:D37"/>
    <mergeCell ref="C28:D28"/>
    <mergeCell ref="C66:D66"/>
    <mergeCell ref="C13:D13"/>
    <mergeCell ref="C18:D18"/>
    <mergeCell ref="C53:D53"/>
    <mergeCell ref="A67:B67"/>
    <mergeCell ref="C49:D49"/>
  </mergeCells>
  <pageMargins left="0.590277777777778" right="0.393055555555556" top="0.511805555555556" bottom="0.393055555555556" header="0.298611111111111" footer="0.156944444444444"/>
  <pageSetup orientation="portrait" paperSize="9"/>
  <headerFooter>
    <oddHeader/>
    <oddFooter>&amp;C第 &amp;P 页，共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COPA A Multi-Project Quotation Template (EN)</dc:title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2026-09-07T23:27:48Z</dcterms:modified>
  <cp:lastModifiedBy>COPA</cp:lastModifiedBy>
  <cp:lastPrinted>2023-12-02T16:27:00Z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AA88D55746164F0EA273D127EF4D3C1A_13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