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报价单" sheetId="1" state="visible" r:id="rId1"/>
  </sheets>
  <definedNames>
    <definedName name="_xlnm.Print_Area" localSheetId="0">'报价单'!$A$1:$I$85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#,##0_ "/>
  </numFmts>
  <fonts count="33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1"/>
      <sz val="14"/>
      <scheme val="minor"/>
    </font>
    <font>
      <name val="宋体"/>
      <charset val="134"/>
      <b val="1"/>
      <color theme="1"/>
      <sz val="20"/>
      <scheme val="minor"/>
    </font>
    <font>
      <name val="宋体"/>
      <charset val="134"/>
      <color theme="1"/>
      <sz val="20"/>
      <scheme val="minor"/>
    </font>
    <font>
      <name val="宋体"/>
      <charset val="134"/>
      <b val="1"/>
      <sz val="11"/>
    </font>
    <font>
      <name val="宋体"/>
      <charset val="134"/>
      <sz val="10"/>
    </font>
    <font>
      <name val="宋体"/>
      <charset val="134"/>
      <color theme="1"/>
      <sz val="10"/>
    </font>
    <font>
      <name val="宋体"/>
      <charset val="134"/>
      <color rgb="FFFF0000"/>
      <sz val="11"/>
      <scheme val="minor"/>
    </font>
    <font>
      <name val="宋体"/>
      <charset val="134"/>
      <b val="1"/>
      <sz val="10"/>
    </font>
    <font>
      <name val="宋体"/>
      <charset val="134"/>
      <sz val="11"/>
    </font>
    <font>
      <name val="宋体"/>
      <charset val="134"/>
      <color rgb="FFFF0000"/>
      <sz val="11"/>
    </font>
    <font>
      <name val="宋体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0" fillId="2" borderId="13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4" applyAlignment="1">
      <alignment vertical="center"/>
    </xf>
    <xf numFmtId="0" fontId="20" fillId="0" borderId="14" applyAlignment="1">
      <alignment vertical="center"/>
    </xf>
    <xf numFmtId="0" fontId="21" fillId="0" borderId="15" applyAlignment="1">
      <alignment vertical="center"/>
    </xf>
    <xf numFmtId="0" fontId="21" fillId="0" borderId="0" applyAlignment="1">
      <alignment vertical="center"/>
    </xf>
    <xf numFmtId="0" fontId="22" fillId="3" borderId="16" applyAlignment="1">
      <alignment vertical="center"/>
    </xf>
    <xf numFmtId="0" fontId="23" fillId="4" borderId="17" applyAlignment="1">
      <alignment vertical="center"/>
    </xf>
    <xf numFmtId="0" fontId="24" fillId="4" borderId="16" applyAlignment="1">
      <alignment vertical="center"/>
    </xf>
    <xf numFmtId="0" fontId="25" fillId="5" borderId="18" applyAlignment="1">
      <alignment vertical="center"/>
    </xf>
    <xf numFmtId="0" fontId="26" fillId="0" borderId="19" applyAlignment="1">
      <alignment vertical="center"/>
    </xf>
    <xf numFmtId="0" fontId="27" fillId="0" borderId="20" applyAlignment="1">
      <alignment vertical="center"/>
    </xf>
    <xf numFmtId="0" fontId="28" fillId="6" borderId="0" applyAlignment="1">
      <alignment vertical="center"/>
    </xf>
    <xf numFmtId="0" fontId="29" fillId="7" borderId="0" applyAlignment="1">
      <alignment vertical="center"/>
    </xf>
    <xf numFmtId="0" fontId="30" fillId="8" borderId="0" applyAlignment="1">
      <alignment vertical="center"/>
    </xf>
    <xf numFmtId="0" fontId="31" fillId="9" borderId="0" applyAlignment="1">
      <alignment vertical="center"/>
    </xf>
    <xf numFmtId="0" fontId="32" fillId="10" borderId="0" applyAlignment="1">
      <alignment vertical="center"/>
    </xf>
    <xf numFmtId="0" fontId="32" fillId="11" borderId="0" applyAlignment="1">
      <alignment vertical="center"/>
    </xf>
    <xf numFmtId="0" fontId="31" fillId="12" borderId="0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2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2" fillId="26" borderId="0" applyAlignment="1">
      <alignment vertical="center"/>
    </xf>
    <xf numFmtId="0" fontId="32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2" fillId="30" borderId="0" applyAlignment="1">
      <alignment vertical="center"/>
    </xf>
    <xf numFmtId="0" fontId="32" fillId="31" borderId="0" applyAlignment="1">
      <alignment vertical="center"/>
    </xf>
    <xf numFmtId="0" fontId="31" fillId="32" borderId="0" applyAlignment="1">
      <alignment vertical="center"/>
    </xf>
  </cellStyleXfs>
  <cellXfs count="8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vertical="center" wrapText="1"/>
    </xf>
    <xf numFmtId="0" fontId="8" fillId="0" borderId="4" applyAlignment="1" pivotButton="0" quotePrefix="0" xfId="0">
      <alignment vertical="center" wrapText="1"/>
    </xf>
    <xf numFmtId="164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164" fontId="7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left" vertical="center"/>
    </xf>
    <xf numFmtId="0" fontId="7" fillId="0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4" applyAlignment="1" pivotButton="0" quotePrefix="0" xfId="0">
      <alignment horizontal="left" vertical="center" wrapText="1"/>
    </xf>
    <xf numFmtId="0" fontId="9" fillId="0" borderId="0" applyAlignment="1" pivotButton="0" quotePrefix="0" xfId="0">
      <alignment vertical="center" wrapText="1"/>
    </xf>
    <xf numFmtId="165" fontId="7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164" fontId="10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2" applyAlignment="1" pivotButton="0" quotePrefix="0" xfId="0">
      <alignment horizontal="right" vertical="center" wrapText="1"/>
    </xf>
    <xf numFmtId="164" fontId="6" fillId="0" borderId="3" applyAlignment="1" pivotButton="0" quotePrefix="0" xfId="0">
      <alignment horizontal="left"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8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0" fillId="0" borderId="9" applyAlignment="1" pivotButton="0" quotePrefix="0" xfId="0">
      <alignment vertical="center"/>
    </xf>
    <xf numFmtId="165" fontId="10" fillId="0" borderId="2" applyAlignment="1" pivotButton="0" quotePrefix="0" xfId="0">
      <alignment horizontal="center" vertical="center"/>
    </xf>
    <xf numFmtId="164" fontId="6" fillId="0" borderId="4" applyAlignment="1" pivotButton="0" quotePrefix="0" xfId="0">
      <alignment horizontal="left" vertical="center"/>
    </xf>
    <xf numFmtId="0" fontId="0" fillId="0" borderId="10" applyAlignment="1" pivotButton="0" quotePrefix="0" xfId="0">
      <alignment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0" applyAlignment="1" pivotButton="0" quotePrefix="0" xfId="0">
      <alignment vertical="center"/>
    </xf>
    <xf numFmtId="0" fontId="11" fillId="0" borderId="11" applyAlignment="1" pivotButton="0" quotePrefix="0" xfId="0">
      <alignment horizontal="left" vertical="center"/>
    </xf>
    <xf numFmtId="0" fontId="13" fillId="0" borderId="11" applyAlignment="1" pivotButton="0" quotePrefix="0" xfId="0">
      <alignment horizontal="left" vertical="center"/>
    </xf>
    <xf numFmtId="0" fontId="13" fillId="0" borderId="0" applyAlignment="1" pivotButton="0" quotePrefix="0" xfId="0">
      <alignment vertical="center"/>
    </xf>
    <xf numFmtId="0" fontId="12" fillId="0" borderId="11" applyAlignment="1" pivotButton="0" quotePrefix="0" xfId="0">
      <alignment horizontal="left" vertical="center" wrapText="1"/>
    </xf>
    <xf numFmtId="0" fontId="11" fillId="0" borderId="0" applyAlignment="1" pivotButton="0" quotePrefix="0" xfId="0">
      <alignment vertical="center" wrapText="1"/>
    </xf>
    <xf numFmtId="0" fontId="9" fillId="0" borderId="11" applyAlignment="1" pivotButton="0" quotePrefix="0" xfId="0">
      <alignment horizontal="left" vertical="center"/>
    </xf>
    <xf numFmtId="0" fontId="0" fillId="0" borderId="12" applyAlignment="1" pivotButton="0" quotePrefix="0" xfId="0">
      <alignment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164" fontId="6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8" fillId="0" borderId="2" applyAlignment="1" pivotButton="0" quotePrefix="0" xfId="0">
      <alignment vertical="center" wrapText="1"/>
    </xf>
    <xf numFmtId="164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 wrapText="1"/>
    </xf>
    <xf numFmtId="164" fontId="7" fillId="0" borderId="2" applyAlignment="1" pivotButton="0" quotePrefix="0" xfId="0">
      <alignment horizontal="center" vertical="center" wrapText="1"/>
    </xf>
    <xf numFmtId="165" fontId="7" fillId="0" borderId="2" applyAlignment="1" pivotButton="0" quotePrefix="0" xfId="0">
      <alignment horizontal="center" vertical="center"/>
    </xf>
    <xf numFmtId="164" fontId="10" fillId="0" borderId="2" applyAlignment="1" pivotButton="0" quotePrefix="0" xfId="0">
      <alignment horizontal="center" vertical="center" wrapText="1"/>
    </xf>
    <xf numFmtId="165" fontId="10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164" fontId="6" fillId="0" borderId="2" applyAlignment="1" pivotButton="0" quotePrefix="0" xfId="0">
      <alignment horizontal="left" vertical="center"/>
    </xf>
    <xf numFmtId="0" fontId="0" fillId="0" borderId="1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19050</colOff>
      <row>0</row>
      <rowOff>144145</rowOff>
    </from>
    <ext cx="594995" cy="594995"/>
    <pic>
      <nvPicPr>
        <cNvPr id="5" name="ID_A4A608200D86441BA6FEFDF5B2B14E7E" descr="COPA LOGO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" y="144145"/>
          <a:ext cx="1388110" cy="5949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tabSelected="1" topLeftCell="A59" workbookViewId="0">
      <selection activeCell="B74" sqref="B74:I74"/>
    </sheetView>
  </sheetViews>
  <sheetFormatPr baseColWidth="8" defaultColWidth="9" defaultRowHeight="13.5"/>
  <cols>
    <col width="7.09166666666667" customWidth="1" style="66" min="1" max="1"/>
    <col width="17.3666666666667" customWidth="1" style="66" min="2" max="2"/>
    <col width="20.6333333333333" customWidth="1" style="66" min="3" max="3"/>
    <col width="7.63333333333333" customWidth="1" style="66" min="4" max="4"/>
    <col width="7.26666666666667" customWidth="1" style="66" min="5" max="5"/>
    <col width="8.875" customWidth="1" style="66" min="6" max="6"/>
    <col width="8.449999999999999" customWidth="1" style="66" min="7" max="7"/>
    <col width="9" customWidth="1" style="66" min="8" max="8"/>
    <col width="10.45" customWidth="1" style="66" min="9" max="9"/>
    <col width="13.625" customWidth="1" style="66" min="10" max="10"/>
  </cols>
  <sheetData>
    <row r="1" ht="23.15" customHeight="1" s="66">
      <c r="A1" s="6" t="n"/>
      <c r="C1" s="4" t="inlineStr">
        <is>
          <t xml:space="preserve">COPA A Co., Ltd.</t>
        </is>
      </c>
      <c r="D1" s="4" t="n"/>
      <c r="F1" s="5" t="n"/>
      <c r="G1" s="5" t="n"/>
      <c r="H1" s="5" t="n"/>
      <c r="I1" s="5" t="n"/>
    </row>
    <row r="2" ht="23.15" customHeight="1" s="66">
      <c r="C2" s="0" t="inlineStr">
        <is>
          <t xml:space="preserve">Smart Weighing Solutions</t>
        </is>
      </c>
    </row>
    <row r="3" ht="23.15" customHeight="1" s="66">
      <c r="A3" s="67" t="n"/>
      <c r="B3" s="67" t="n"/>
      <c r="C3" s="7" t="inlineStr">
        <is>
          <t xml:space="preserve"/>
        </is>
      </c>
      <c r="D3" s="7" t="n"/>
      <c r="E3" s="7" t="n"/>
      <c r="F3" s="7" t="n"/>
      <c r="G3" s="7" t="n"/>
      <c r="H3" s="7" t="n"/>
      <c r="I3" s="7" t="n"/>
    </row>
    <row r="4" ht="27" customFormat="1" customHeight="1" s="1">
      <c r="A4" s="8" t="inlineStr">
        <is>
          <t>报  价  单</t>
        </is>
      </c>
    </row>
    <row r="5" ht="18" customHeight="1" s="66">
      <c r="A5" s="2" t="inlineStr">
        <is>
          <t>询价方:</t>
        </is>
      </c>
      <c r="B5" s="10" t="n"/>
      <c r="D5" s="2" t="inlineStr">
        <is>
          <t xml:space="preserve">报价方:COPA A Co., Ltd.</t>
        </is>
      </c>
      <c r="E5" s="2" t="n"/>
      <c r="F5" s="2" t="n"/>
      <c r="G5" s="10" t="n"/>
      <c r="H5" s="10" t="n"/>
    </row>
    <row r="6" ht="18" customHeight="1" s="66">
      <c r="A6" s="2" t="inlineStr">
        <is>
          <t>联系人：</t>
        </is>
      </c>
      <c r="B6" s="11" t="n"/>
      <c r="D6" s="2" t="inlineStr">
        <is>
          <t xml:space="preserve">联系人：Contact COPA</t>
        </is>
      </c>
      <c r="E6" s="2" t="n"/>
      <c r="F6" s="2" t="n"/>
      <c r="G6" s="10" t="n"/>
      <c r="H6" s="10" t="n"/>
    </row>
    <row r="7" ht="18" customHeight="1" s="66">
      <c r="A7" s="2" t="inlineStr">
        <is>
          <t>电话：</t>
        </is>
      </c>
      <c r="B7" s="11" t="n"/>
      <c r="D7" s="2" t="inlineStr">
        <is>
          <t>电话：</t>
        </is>
      </c>
      <c r="E7" s="2" t="n"/>
      <c r="F7" s="2" t="n"/>
      <c r="G7" s="10" t="n"/>
      <c r="H7" s="10" t="n"/>
    </row>
    <row r="8" ht="18" customHeight="1" s="66">
      <c r="A8" s="2" t="inlineStr">
        <is>
          <t>邮箱：</t>
        </is>
      </c>
      <c r="B8" s="11" t="n"/>
      <c r="D8" s="2" t="inlineStr">
        <is>
          <t xml:space="preserve">邮箱：contact@copa-demo.example</t>
        </is>
      </c>
      <c r="E8" s="2" t="n"/>
      <c r="F8" s="2" t="n"/>
      <c r="G8" s="10" t="n"/>
      <c r="H8" s="10" t="n"/>
      <c r="M8" s="31" t="n"/>
    </row>
    <row r="9" ht="18" customHeight="1" s="66">
      <c r="A9" s="2" t="inlineStr">
        <is>
          <t>报价日期：</t>
        </is>
      </c>
      <c r="B9" s="12" t="n"/>
    </row>
    <row r="10" ht="18" customHeight="1" s="66">
      <c r="A10" s="2" t="inlineStr">
        <is>
          <t>报价内容：</t>
        </is>
      </c>
    </row>
    <row r="11" ht="18" customHeight="1" s="66">
      <c r="A11" s="13" t="inlineStr">
        <is>
          <t>序号</t>
        </is>
      </c>
      <c r="B11" s="13" t="inlineStr">
        <is>
          <t>名称</t>
        </is>
      </c>
      <c r="C11" s="13" t="inlineStr">
        <is>
          <t>型号规格、描述</t>
        </is>
      </c>
      <c r="D11" s="68" t="n"/>
      <c r="E11" s="13" t="inlineStr">
        <is>
          <t>单位</t>
        </is>
      </c>
      <c r="F11" s="69" t="inlineStr">
        <is>
          <t>数量</t>
        </is>
      </c>
      <c r="G11" s="69" t="inlineStr">
        <is>
          <t>单价(元)</t>
        </is>
      </c>
      <c r="H11" s="69" t="inlineStr">
        <is>
          <t>总价(元)</t>
        </is>
      </c>
      <c r="I11" s="13" t="inlineStr">
        <is>
          <t>备注</t>
        </is>
      </c>
    </row>
    <row r="12" ht="37" customHeight="1" s="66">
      <c r="A12" s="13" t="inlineStr">
        <is>
          <t>一、</t>
        </is>
      </c>
      <c r="B12" s="32" t="inlineStr">
        <is>
          <t>设备名称： ，位号： ， 支点，共 套。设备自重： t，料重： t，总重 t，标定量程 t，显示分度值 kg。仪表，4-20mA模拟量输出，220VAC。防爆环境。</t>
        </is>
      </c>
      <c r="C12" s="70" t="n"/>
      <c r="D12" s="70" t="n"/>
      <c r="E12" s="70" t="n"/>
      <c r="F12" s="70" t="n"/>
      <c r="G12" s="70" t="n"/>
      <c r="H12" s="70" t="n"/>
      <c r="I12" s="68" t="n"/>
    </row>
    <row r="13" ht="72" customHeight="1" s="66">
      <c r="A13" s="18" t="n">
        <v>1</v>
      </c>
      <c r="B13" s="18" t="inlineStr">
        <is>
          <t>称重模块</t>
        </is>
      </c>
      <c r="C13" s="71" t="n"/>
      <c r="D13" s="68" t="n"/>
      <c r="E13" s="18" t="inlineStr">
        <is>
          <t>只</t>
        </is>
      </c>
      <c r="F13" s="18" t="n"/>
      <c r="G13" s="72" t="n"/>
      <c r="H13" s="72">
        <f>F13*G13</f>
        <v/>
      </c>
      <c r="I13" s="22" t="n"/>
      <c r="J13" s="33" t="n"/>
    </row>
    <row r="14" ht="68" customHeight="1" s="66">
      <c r="A14" s="22" t="n">
        <v>2</v>
      </c>
      <c r="B14" s="22" t="inlineStr">
        <is>
          <t>接线盒</t>
        </is>
      </c>
      <c r="C14" s="73" t="n"/>
      <c r="D14" s="68" t="n"/>
      <c r="E14" s="22" t="inlineStr">
        <is>
          <t>只</t>
        </is>
      </c>
      <c r="F14" s="22" t="n"/>
      <c r="G14" s="74" t="n"/>
      <c r="H14" s="72">
        <f>F14*G14</f>
        <v/>
      </c>
      <c r="I14" s="75" t="n"/>
    </row>
    <row r="15" ht="78" customHeight="1" s="66">
      <c r="A15" s="22" t="n">
        <v>3</v>
      </c>
      <c r="B15" s="22" t="inlineStr">
        <is>
          <t>称重显示控制器</t>
        </is>
      </c>
      <c r="C15" s="73" t="n"/>
      <c r="D15" s="68" t="n"/>
      <c r="E15" s="22" t="inlineStr">
        <is>
          <t>只</t>
        </is>
      </c>
      <c r="F15" s="22" t="n"/>
      <c r="G15" s="74" t="n"/>
      <c r="H15" s="72">
        <f>F15*G15</f>
        <v/>
      </c>
      <c r="I15" s="75" t="n"/>
    </row>
    <row r="16" ht="30" customHeight="1" s="66">
      <c r="A16" s="22" t="n">
        <v>4</v>
      </c>
      <c r="B16" s="22" t="inlineStr">
        <is>
          <t>信号电缆</t>
        </is>
      </c>
      <c r="C16" s="73" t="n"/>
      <c r="D16" s="68" t="n"/>
      <c r="E16" s="22" t="inlineStr">
        <is>
          <t>米</t>
        </is>
      </c>
      <c r="F16" s="22" t="n"/>
      <c r="G16" s="74" t="n"/>
      <c r="H16" s="72">
        <f>F16*G16</f>
        <v/>
      </c>
      <c r="I16" s="75" t="n"/>
    </row>
    <row r="17" ht="20" customHeight="1" s="66">
      <c r="A17" s="18" t="n">
        <v>5</v>
      </c>
      <c r="B17" s="22" t="inlineStr">
        <is>
          <t>上安装过渡板</t>
        </is>
      </c>
      <c r="C17" s="73" t="n"/>
      <c r="D17" s="68" t="n"/>
      <c r="E17" s="22" t="inlineStr">
        <is>
          <t>块</t>
        </is>
      </c>
      <c r="F17" s="22" t="n"/>
      <c r="G17" s="74" t="n"/>
      <c r="H17" s="72">
        <f>F17*G17</f>
        <v/>
      </c>
      <c r="I17" s="22" t="n"/>
    </row>
    <row r="18" ht="20" customHeight="1" s="66">
      <c r="A18" s="22" t="n">
        <v>6</v>
      </c>
      <c r="B18" s="22" t="inlineStr">
        <is>
          <t>下安装过渡板</t>
        </is>
      </c>
      <c r="C18" s="73" t="n"/>
      <c r="D18" s="68" t="n"/>
      <c r="E18" s="22" t="inlineStr">
        <is>
          <t>块</t>
        </is>
      </c>
      <c r="F18" s="22" t="n"/>
      <c r="G18" s="74" t="n"/>
      <c r="H18" s="72">
        <f>F18*G18</f>
        <v/>
      </c>
      <c r="I18" s="22" t="n"/>
    </row>
    <row r="19" ht="20" customHeight="1" s="66">
      <c r="A19" s="22" t="n">
        <v>7</v>
      </c>
      <c r="B19" s="22" t="inlineStr">
        <is>
          <t>小计</t>
        </is>
      </c>
      <c r="C19" s="22" t="n"/>
      <c r="D19" s="68" t="n"/>
      <c r="E19" s="22" t="inlineStr">
        <is>
          <t>套</t>
        </is>
      </c>
      <c r="F19" s="22" t="n">
        <v>1</v>
      </c>
      <c r="G19" s="74" t="n"/>
      <c r="H19" s="74">
        <f>SUM(H13:H18)</f>
        <v/>
      </c>
      <c r="I19" s="22" t="n"/>
    </row>
    <row r="20" ht="20" customHeight="1" s="66">
      <c r="A20" s="22" t="n">
        <v>8</v>
      </c>
      <c r="B20" s="22" t="inlineStr">
        <is>
          <t>套数合计</t>
        </is>
      </c>
      <c r="C20" s="22" t="n"/>
      <c r="D20" s="68" t="n"/>
      <c r="E20" s="22" t="inlineStr">
        <is>
          <t>套</t>
        </is>
      </c>
      <c r="F20" s="22" t="n"/>
      <c r="G20" s="74" t="n"/>
      <c r="H20" s="74">
        <f>F20*H19</f>
        <v/>
      </c>
      <c r="I20" s="22" t="n"/>
    </row>
    <row r="21" ht="37" customHeight="1" s="66">
      <c r="A21" s="13" t="inlineStr">
        <is>
          <t>二、</t>
        </is>
      </c>
      <c r="B21" s="32" t="inlineStr">
        <is>
          <t>设备名称： ，位号： ， 支点，共 套。设备自重： t，料重： t，总重 t，标定量程 t，显示分度值 kg。仪表，4-20mA模拟量输出，220VAC。防爆环境。</t>
        </is>
      </c>
      <c r="C21" s="70" t="n"/>
      <c r="D21" s="70" t="n"/>
      <c r="E21" s="70" t="n"/>
      <c r="F21" s="70" t="n"/>
      <c r="G21" s="70" t="n"/>
      <c r="H21" s="70" t="n"/>
      <c r="I21" s="68" t="n"/>
    </row>
    <row r="22" ht="40" customHeight="1" s="66">
      <c r="A22" s="18" t="n">
        <v>1</v>
      </c>
      <c r="B22" s="18" t="inlineStr">
        <is>
          <t>称重模块</t>
        </is>
      </c>
      <c r="C22" s="71" t="n"/>
      <c r="D22" s="68" t="n"/>
      <c r="E22" s="18" t="inlineStr">
        <is>
          <t>只</t>
        </is>
      </c>
      <c r="F22" s="18" t="n"/>
      <c r="G22" s="72" t="n"/>
      <c r="H22" s="72">
        <f>F22*G22</f>
        <v/>
      </c>
      <c r="I22" s="22" t="n"/>
      <c r="J22" s="33" t="n"/>
    </row>
    <row r="23" ht="27" customHeight="1" s="66">
      <c r="A23" s="22" t="n">
        <v>2</v>
      </c>
      <c r="B23" s="22" t="inlineStr">
        <is>
          <t>接线盒</t>
        </is>
      </c>
      <c r="C23" s="73" t="n"/>
      <c r="D23" s="68" t="n"/>
      <c r="E23" s="22" t="inlineStr">
        <is>
          <t>只</t>
        </is>
      </c>
      <c r="F23" s="22" t="n"/>
      <c r="G23" s="74" t="n"/>
      <c r="H23" s="72">
        <f>F23*G23</f>
        <v/>
      </c>
      <c r="I23" s="75" t="n"/>
    </row>
    <row r="24" ht="78" customHeight="1" s="66">
      <c r="A24" s="22" t="n">
        <v>3</v>
      </c>
      <c r="B24" s="22" t="inlineStr">
        <is>
          <t>称重显示控制器</t>
        </is>
      </c>
      <c r="C24" s="73" t="n"/>
      <c r="D24" s="68" t="n"/>
      <c r="E24" s="22" t="inlineStr">
        <is>
          <t>只</t>
        </is>
      </c>
      <c r="F24" s="22" t="n"/>
      <c r="G24" s="74" t="n"/>
      <c r="H24" s="72">
        <f>F24*G24</f>
        <v/>
      </c>
      <c r="I24" s="75" t="n"/>
    </row>
    <row r="25" ht="30" customHeight="1" s="66">
      <c r="A25" s="22" t="n">
        <v>4</v>
      </c>
      <c r="B25" s="22" t="inlineStr">
        <is>
          <t>信号电缆</t>
        </is>
      </c>
      <c r="C25" s="73" t="n"/>
      <c r="D25" s="68" t="n"/>
      <c r="E25" s="22" t="inlineStr">
        <is>
          <t>米</t>
        </is>
      </c>
      <c r="F25" s="22" t="n"/>
      <c r="G25" s="74" t="n"/>
      <c r="H25" s="72">
        <f>F25*G25</f>
        <v/>
      </c>
      <c r="I25" s="75" t="n"/>
    </row>
    <row r="26" ht="20" customHeight="1" s="66">
      <c r="A26" s="18" t="n">
        <v>5</v>
      </c>
      <c r="B26" s="22" t="inlineStr">
        <is>
          <t>上安装过渡板</t>
        </is>
      </c>
      <c r="C26" s="73" t="n"/>
      <c r="D26" s="68" t="n"/>
      <c r="E26" s="22" t="inlineStr">
        <is>
          <t>块</t>
        </is>
      </c>
      <c r="F26" s="22" t="n"/>
      <c r="G26" s="74" t="n"/>
      <c r="H26" s="72">
        <f>F26*G26</f>
        <v/>
      </c>
      <c r="I26" s="22" t="n"/>
    </row>
    <row r="27" ht="20" customHeight="1" s="66">
      <c r="A27" s="18" t="n">
        <v>6</v>
      </c>
      <c r="B27" s="22" t="inlineStr">
        <is>
          <t>下安装过渡板</t>
        </is>
      </c>
      <c r="C27" s="73" t="n"/>
      <c r="D27" s="68" t="n"/>
      <c r="E27" s="22" t="inlineStr">
        <is>
          <t>块</t>
        </is>
      </c>
      <c r="F27" s="22" t="n"/>
      <c r="G27" s="74" t="n"/>
      <c r="H27" s="72">
        <f>F27*G27</f>
        <v/>
      </c>
      <c r="I27" s="22" t="n"/>
    </row>
    <row r="28" ht="20" customHeight="1" s="66">
      <c r="A28" s="22" t="n">
        <v>7</v>
      </c>
      <c r="B28" s="18" t="inlineStr">
        <is>
          <t>小计</t>
        </is>
      </c>
      <c r="C28" s="18" t="n"/>
      <c r="D28" s="68" t="n"/>
      <c r="E28" s="18" t="inlineStr">
        <is>
          <t>套</t>
        </is>
      </c>
      <c r="F28" s="18" t="n">
        <v>1</v>
      </c>
      <c r="G28" s="74" t="n"/>
      <c r="H28" s="74">
        <f>SUM(H22:H27)</f>
        <v/>
      </c>
      <c r="I28" s="75" t="n"/>
    </row>
    <row r="29" ht="20" customHeight="1" s="66">
      <c r="A29" s="22" t="n">
        <v>8</v>
      </c>
      <c r="B29" s="18" t="inlineStr">
        <is>
          <t>套数合计</t>
        </is>
      </c>
      <c r="C29" s="18" t="n"/>
      <c r="D29" s="68" t="n"/>
      <c r="E29" s="18" t="inlineStr">
        <is>
          <t>套</t>
        </is>
      </c>
      <c r="F29" s="18" t="n"/>
      <c r="G29" s="74" t="n"/>
      <c r="H29" s="74">
        <f>H28*F29</f>
        <v/>
      </c>
      <c r="I29" s="75" t="n"/>
    </row>
    <row r="30" ht="37" customHeight="1" s="66">
      <c r="A30" s="13" t="inlineStr">
        <is>
          <t>三、</t>
        </is>
      </c>
      <c r="B30" s="32" t="inlineStr">
        <is>
          <t>设备名称： ，位号： ， 支点，共 套。设备自重： t，料重： t，总重 t，标定量程 t，显示分度值 kg。仪表，4-20mA模拟量输出，220VAC。防爆环境。</t>
        </is>
      </c>
      <c r="C30" s="70" t="n"/>
      <c r="D30" s="70" t="n"/>
      <c r="E30" s="70" t="n"/>
      <c r="F30" s="70" t="n"/>
      <c r="G30" s="70" t="n"/>
      <c r="H30" s="70" t="n"/>
      <c r="I30" s="68" t="n"/>
    </row>
    <row r="31" ht="40" customHeight="1" s="66">
      <c r="A31" s="18" t="n">
        <v>1</v>
      </c>
      <c r="B31" s="18" t="inlineStr">
        <is>
          <t>称重模块</t>
        </is>
      </c>
      <c r="C31" s="71" t="n"/>
      <c r="D31" s="68" t="n"/>
      <c r="E31" s="18" t="inlineStr">
        <is>
          <t>只</t>
        </is>
      </c>
      <c r="F31" s="18" t="n"/>
      <c r="G31" s="72" t="n"/>
      <c r="H31" s="72">
        <f>F31*G31</f>
        <v/>
      </c>
      <c r="I31" s="22" t="n"/>
      <c r="J31" s="33" t="n"/>
    </row>
    <row r="32" ht="27" customHeight="1" s="66">
      <c r="A32" s="22" t="n">
        <v>2</v>
      </c>
      <c r="B32" s="22" t="inlineStr">
        <is>
          <t>接线盒</t>
        </is>
      </c>
      <c r="C32" s="73" t="n"/>
      <c r="D32" s="68" t="n"/>
      <c r="E32" s="22" t="inlineStr">
        <is>
          <t>只</t>
        </is>
      </c>
      <c r="F32" s="22" t="n"/>
      <c r="G32" s="74" t="n"/>
      <c r="H32" s="72">
        <f>F32*G32</f>
        <v/>
      </c>
      <c r="I32" s="75" t="n"/>
    </row>
    <row r="33" ht="78" customHeight="1" s="66">
      <c r="A33" s="22" t="n">
        <v>3</v>
      </c>
      <c r="B33" s="22" t="inlineStr">
        <is>
          <t>称重显示控制器</t>
        </is>
      </c>
      <c r="C33" s="73" t="n"/>
      <c r="D33" s="68" t="n"/>
      <c r="E33" s="22" t="inlineStr">
        <is>
          <t>只</t>
        </is>
      </c>
      <c r="F33" s="22" t="n"/>
      <c r="G33" s="74" t="n"/>
      <c r="H33" s="72">
        <f>F33*G33</f>
        <v/>
      </c>
      <c r="I33" s="75" t="n"/>
    </row>
    <row r="34" ht="30" customHeight="1" s="66">
      <c r="A34" s="22" t="n">
        <v>4</v>
      </c>
      <c r="B34" s="22" t="inlineStr">
        <is>
          <t>信号电缆</t>
        </is>
      </c>
      <c r="C34" s="73" t="n"/>
      <c r="D34" s="68" t="n"/>
      <c r="E34" s="22" t="inlineStr">
        <is>
          <t>米</t>
        </is>
      </c>
      <c r="F34" s="22" t="n"/>
      <c r="G34" s="74" t="n"/>
      <c r="H34" s="72">
        <f>F34*G34</f>
        <v/>
      </c>
      <c r="I34" s="75" t="n"/>
    </row>
    <row r="35" ht="20" customHeight="1" s="66">
      <c r="A35" s="18" t="n">
        <v>5</v>
      </c>
      <c r="B35" s="22" t="inlineStr">
        <is>
          <t>上安装过渡板</t>
        </is>
      </c>
      <c r="C35" s="73" t="n"/>
      <c r="D35" s="68" t="n"/>
      <c r="E35" s="22" t="inlineStr">
        <is>
          <t>块</t>
        </is>
      </c>
      <c r="F35" s="22" t="n"/>
      <c r="G35" s="74" t="n"/>
      <c r="H35" s="72">
        <f>F35*G35</f>
        <v/>
      </c>
      <c r="I35" s="22" t="n"/>
    </row>
    <row r="36" ht="20" customHeight="1" s="66">
      <c r="A36" s="18" t="n">
        <v>6</v>
      </c>
      <c r="B36" s="22" t="inlineStr">
        <is>
          <t>下安装过渡板</t>
        </is>
      </c>
      <c r="C36" s="73" t="n"/>
      <c r="D36" s="68" t="n"/>
      <c r="E36" s="22" t="inlineStr">
        <is>
          <t>块</t>
        </is>
      </c>
      <c r="F36" s="22" t="n"/>
      <c r="G36" s="74" t="n"/>
      <c r="H36" s="72">
        <f>F36*G36</f>
        <v/>
      </c>
      <c r="I36" s="22" t="n"/>
    </row>
    <row r="37" ht="20" customHeight="1" s="66">
      <c r="A37" s="22" t="n">
        <v>7</v>
      </c>
      <c r="B37" s="18" t="inlineStr">
        <is>
          <t>小计</t>
        </is>
      </c>
      <c r="C37" s="18" t="n"/>
      <c r="D37" s="68" t="n"/>
      <c r="E37" s="18" t="inlineStr">
        <is>
          <t>套</t>
        </is>
      </c>
      <c r="F37" s="18" t="n">
        <v>1</v>
      </c>
      <c r="G37" s="74" t="n"/>
      <c r="H37" s="74">
        <f>SUM(H31:H36)</f>
        <v/>
      </c>
      <c r="I37" s="75" t="n"/>
    </row>
    <row r="38" ht="20" customHeight="1" s="66">
      <c r="A38" s="22" t="n">
        <v>8</v>
      </c>
      <c r="B38" s="18" t="inlineStr">
        <is>
          <t>套数合计</t>
        </is>
      </c>
      <c r="C38" s="18" t="n"/>
      <c r="D38" s="68" t="n"/>
      <c r="E38" s="18" t="inlineStr">
        <is>
          <t>套</t>
        </is>
      </c>
      <c r="F38" s="18" t="n"/>
      <c r="G38" s="74" t="n"/>
      <c r="H38" s="74">
        <f>H37*F38</f>
        <v/>
      </c>
      <c r="I38" s="75" t="n"/>
    </row>
    <row r="39" ht="34" customHeight="1" s="66">
      <c r="A39" s="13" t="inlineStr">
        <is>
          <t>四、</t>
        </is>
      </c>
      <c r="B39" s="32" t="inlineStr">
        <is>
          <t>设备名称： ，位号： ， 支点，共 套。设备自重： t，料重： t，总重 t，标定量程 t，显示分度值 kg。仪表，4-20mA模拟量输出，220VAC。防爆环境。</t>
        </is>
      </c>
      <c r="C39" s="70" t="n"/>
      <c r="D39" s="70" t="n"/>
      <c r="E39" s="70" t="n"/>
      <c r="F39" s="70" t="n"/>
      <c r="G39" s="70" t="n"/>
      <c r="H39" s="70" t="n"/>
      <c r="I39" s="68" t="n"/>
    </row>
    <row r="40" ht="40" customHeight="1" s="66">
      <c r="A40" s="18" t="n">
        <v>1</v>
      </c>
      <c r="B40" s="18" t="inlineStr">
        <is>
          <t>称重模块</t>
        </is>
      </c>
      <c r="C40" s="71" t="n"/>
      <c r="D40" s="68" t="n"/>
      <c r="E40" s="18" t="inlineStr">
        <is>
          <t>只</t>
        </is>
      </c>
      <c r="F40" s="18" t="n"/>
      <c r="G40" s="72" t="n"/>
      <c r="H40" s="72">
        <f>F40*G40</f>
        <v/>
      </c>
      <c r="I40" s="22" t="n"/>
      <c r="J40" s="33" t="n"/>
    </row>
    <row r="41" ht="27" customHeight="1" s="66">
      <c r="A41" s="22" t="n">
        <v>2</v>
      </c>
      <c r="B41" s="22" t="inlineStr">
        <is>
          <t>接线盒</t>
        </is>
      </c>
      <c r="C41" s="73" t="n"/>
      <c r="D41" s="68" t="n"/>
      <c r="E41" s="22" t="inlineStr">
        <is>
          <t>只</t>
        </is>
      </c>
      <c r="F41" s="22" t="n"/>
      <c r="G41" s="74" t="n"/>
      <c r="H41" s="72">
        <f>F41*G41</f>
        <v/>
      </c>
      <c r="I41" s="75" t="n"/>
    </row>
    <row r="42" ht="78" customHeight="1" s="66">
      <c r="A42" s="22" t="n">
        <v>3</v>
      </c>
      <c r="B42" s="22" t="inlineStr">
        <is>
          <t>称重显示控制器</t>
        </is>
      </c>
      <c r="C42" s="73" t="n"/>
      <c r="D42" s="68" t="n"/>
      <c r="E42" s="22" t="inlineStr">
        <is>
          <t>只</t>
        </is>
      </c>
      <c r="F42" s="22" t="n"/>
      <c r="G42" s="74" t="n"/>
      <c r="H42" s="72">
        <f>F42*G42</f>
        <v/>
      </c>
      <c r="I42" s="75" t="n"/>
    </row>
    <row r="43" ht="30" customHeight="1" s="66">
      <c r="A43" s="22" t="n">
        <v>4</v>
      </c>
      <c r="B43" s="22" t="inlineStr">
        <is>
          <t>信号电缆</t>
        </is>
      </c>
      <c r="C43" s="73" t="n"/>
      <c r="D43" s="68" t="n"/>
      <c r="E43" s="22" t="inlineStr">
        <is>
          <t>米</t>
        </is>
      </c>
      <c r="F43" s="22" t="n"/>
      <c r="G43" s="74" t="n"/>
      <c r="H43" s="72">
        <f>F43*G43</f>
        <v/>
      </c>
      <c r="I43" s="75" t="n"/>
    </row>
    <row r="44" ht="20" customHeight="1" s="66">
      <c r="A44" s="18" t="n">
        <v>5</v>
      </c>
      <c r="B44" s="22" t="inlineStr">
        <is>
          <t>上安装过渡板</t>
        </is>
      </c>
      <c r="C44" s="73" t="n"/>
      <c r="D44" s="68" t="n"/>
      <c r="E44" s="22" t="inlineStr">
        <is>
          <t>块</t>
        </is>
      </c>
      <c r="F44" s="22" t="n"/>
      <c r="G44" s="74" t="n"/>
      <c r="H44" s="72">
        <f>F44*G44</f>
        <v/>
      </c>
      <c r="I44" s="22" t="n"/>
    </row>
    <row r="45" ht="20" customHeight="1" s="66">
      <c r="A45" s="18" t="n">
        <v>6</v>
      </c>
      <c r="B45" s="22" t="inlineStr">
        <is>
          <t>下安装过渡板</t>
        </is>
      </c>
      <c r="C45" s="73" t="n"/>
      <c r="D45" s="68" t="n"/>
      <c r="E45" s="22" t="inlineStr">
        <is>
          <t>块</t>
        </is>
      </c>
      <c r="F45" s="22" t="n"/>
      <c r="G45" s="74" t="n"/>
      <c r="H45" s="72">
        <f>F45*G45</f>
        <v/>
      </c>
      <c r="I45" s="22" t="n"/>
    </row>
    <row r="46" ht="20" customHeight="1" s="66">
      <c r="A46" s="22" t="n">
        <v>7</v>
      </c>
      <c r="B46" s="18" t="inlineStr">
        <is>
          <t>小计</t>
        </is>
      </c>
      <c r="C46" s="18" t="n"/>
      <c r="D46" s="68" t="n"/>
      <c r="E46" s="18" t="inlineStr">
        <is>
          <t>套</t>
        </is>
      </c>
      <c r="F46" s="18" t="n">
        <v>1</v>
      </c>
      <c r="G46" s="74" t="n"/>
      <c r="H46" s="74">
        <f>SUM(H40:H45)</f>
        <v/>
      </c>
      <c r="I46" s="75" t="n"/>
    </row>
    <row r="47" ht="20" customHeight="1" s="66">
      <c r="A47" s="22" t="n">
        <v>8</v>
      </c>
      <c r="B47" s="18" t="inlineStr">
        <is>
          <t>套数合计</t>
        </is>
      </c>
      <c r="C47" s="18" t="n"/>
      <c r="D47" s="68" t="n"/>
      <c r="E47" s="18" t="inlineStr">
        <is>
          <t>套</t>
        </is>
      </c>
      <c r="F47" s="18" t="n"/>
      <c r="G47" s="74" t="n"/>
      <c r="H47" s="74">
        <f>H46*F47</f>
        <v/>
      </c>
      <c r="I47" s="75" t="n"/>
    </row>
    <row r="48" ht="37" customHeight="1" s="66">
      <c r="A48" s="13" t="inlineStr">
        <is>
          <t>五、</t>
        </is>
      </c>
      <c r="B48" s="32" t="inlineStr">
        <is>
          <t>设备名称： ，位号： ， 支点，共 套。设备自重： t，料重： t，总重 t，标定量程 t，显示分度值 kg。仪表，4-20mA模拟量输出，220VAC。防爆环境。</t>
        </is>
      </c>
      <c r="C48" s="70" t="n"/>
      <c r="D48" s="70" t="n"/>
      <c r="E48" s="70" t="n"/>
      <c r="F48" s="70" t="n"/>
      <c r="G48" s="70" t="n"/>
      <c r="H48" s="70" t="n"/>
      <c r="I48" s="68" t="n"/>
    </row>
    <row r="49" ht="40" customHeight="1" s="66">
      <c r="A49" s="18" t="n">
        <v>1</v>
      </c>
      <c r="B49" s="18" t="inlineStr">
        <is>
          <t>称重模块</t>
        </is>
      </c>
      <c r="C49" s="71" t="n"/>
      <c r="D49" s="68" t="n"/>
      <c r="E49" s="18" t="inlineStr">
        <is>
          <t>只</t>
        </is>
      </c>
      <c r="F49" s="18" t="n"/>
      <c r="G49" s="72" t="n"/>
      <c r="H49" s="72">
        <f>F49*G49</f>
        <v/>
      </c>
      <c r="I49" s="22" t="n"/>
    </row>
    <row r="50" ht="27" customHeight="1" s="66">
      <c r="A50" s="22" t="n">
        <v>2</v>
      </c>
      <c r="B50" s="22" t="inlineStr">
        <is>
          <t>接线盒</t>
        </is>
      </c>
      <c r="C50" s="73" t="n"/>
      <c r="D50" s="68" t="n"/>
      <c r="E50" s="22" t="inlineStr">
        <is>
          <t>只</t>
        </is>
      </c>
      <c r="F50" s="22" t="n"/>
      <c r="G50" s="74" t="n"/>
      <c r="H50" s="72">
        <f>F50*G50</f>
        <v/>
      </c>
      <c r="I50" s="75" t="n"/>
    </row>
    <row r="51" ht="78" customHeight="1" s="66">
      <c r="A51" s="22" t="n">
        <v>3</v>
      </c>
      <c r="B51" s="22" t="inlineStr">
        <is>
          <t>称重显示控制器</t>
        </is>
      </c>
      <c r="C51" s="73" t="n"/>
      <c r="D51" s="68" t="n"/>
      <c r="E51" s="22" t="inlineStr">
        <is>
          <t>只</t>
        </is>
      </c>
      <c r="F51" s="22" t="n"/>
      <c r="G51" s="74" t="n"/>
      <c r="H51" s="72">
        <f>F51*G51</f>
        <v/>
      </c>
      <c r="I51" s="75" t="n"/>
    </row>
    <row r="52" ht="30" customHeight="1" s="66">
      <c r="A52" s="22" t="n">
        <v>4</v>
      </c>
      <c r="B52" s="22" t="inlineStr">
        <is>
          <t>信号电缆</t>
        </is>
      </c>
      <c r="C52" s="73" t="n"/>
      <c r="D52" s="68" t="n"/>
      <c r="E52" s="22" t="inlineStr">
        <is>
          <t>米</t>
        </is>
      </c>
      <c r="F52" s="22" t="n"/>
      <c r="G52" s="74" t="n"/>
      <c r="H52" s="72">
        <f>F52*G52</f>
        <v/>
      </c>
      <c r="I52" s="75" t="n"/>
    </row>
    <row r="53" ht="20" customHeight="1" s="66">
      <c r="A53" s="18" t="n">
        <v>5</v>
      </c>
      <c r="B53" s="22" t="inlineStr">
        <is>
          <t>上安装过渡板</t>
        </is>
      </c>
      <c r="C53" s="73" t="n"/>
      <c r="D53" s="68" t="n"/>
      <c r="E53" s="22" t="inlineStr">
        <is>
          <t>块</t>
        </is>
      </c>
      <c r="F53" s="22" t="n"/>
      <c r="G53" s="74" t="n"/>
      <c r="H53" s="72">
        <f>F53*G53</f>
        <v/>
      </c>
      <c r="I53" s="22" t="n"/>
    </row>
    <row r="54" ht="20" customHeight="1" s="66">
      <c r="A54" s="18" t="n">
        <v>6</v>
      </c>
      <c r="B54" s="22" t="inlineStr">
        <is>
          <t>下安装过渡板</t>
        </is>
      </c>
      <c r="C54" s="73" t="n"/>
      <c r="D54" s="68" t="n"/>
      <c r="E54" s="22" t="inlineStr">
        <is>
          <t>块</t>
        </is>
      </c>
      <c r="F54" s="22" t="n"/>
      <c r="G54" s="74" t="n"/>
      <c r="H54" s="72">
        <f>F54*G54</f>
        <v/>
      </c>
      <c r="I54" s="22" t="n"/>
    </row>
    <row r="55" ht="20" customHeight="1" s="66">
      <c r="A55" s="22" t="n">
        <v>7</v>
      </c>
      <c r="B55" s="18" t="inlineStr">
        <is>
          <t>小计</t>
        </is>
      </c>
      <c r="C55" s="18" t="n"/>
      <c r="D55" s="68" t="n"/>
      <c r="E55" s="18" t="inlineStr">
        <is>
          <t>套</t>
        </is>
      </c>
      <c r="F55" s="18" t="n">
        <v>1</v>
      </c>
      <c r="G55" s="74" t="n"/>
      <c r="H55" s="74">
        <f>SUM(H49:H54)</f>
        <v/>
      </c>
      <c r="I55" s="75" t="n"/>
    </row>
    <row r="56" ht="20" customHeight="1" s="66">
      <c r="A56" s="22" t="n">
        <v>8</v>
      </c>
      <c r="B56" s="18" t="inlineStr">
        <is>
          <t>套数合计</t>
        </is>
      </c>
      <c r="C56" s="18" t="n"/>
      <c r="D56" s="68" t="n"/>
      <c r="E56" s="18" t="inlineStr">
        <is>
          <t>套</t>
        </is>
      </c>
      <c r="F56" s="18" t="n"/>
      <c r="G56" s="74" t="n"/>
      <c r="H56" s="74">
        <f>H55*F56</f>
        <v/>
      </c>
      <c r="I56" s="75" t="n"/>
    </row>
    <row r="57" ht="35" customHeight="1" s="66">
      <c r="A57" s="13" t="inlineStr">
        <is>
          <t>六、</t>
        </is>
      </c>
      <c r="B57" s="32" t="inlineStr">
        <is>
          <t>设备名称： ，位号： ， 支点，共 套。设备自重： t，料重： t，总重 t，标定量程 t，显示分度值 kg。仪表，4-20mA模拟量输出，220VAC。防爆环境。</t>
        </is>
      </c>
      <c r="C57" s="70" t="n"/>
      <c r="D57" s="70" t="n"/>
      <c r="E57" s="70" t="n"/>
      <c r="F57" s="70" t="n"/>
      <c r="G57" s="70" t="n"/>
      <c r="H57" s="70" t="n"/>
      <c r="I57" s="68" t="n"/>
    </row>
    <row r="58" ht="40" customHeight="1" s="66">
      <c r="A58" s="18" t="n">
        <v>1</v>
      </c>
      <c r="B58" s="18" t="inlineStr">
        <is>
          <t>称重模块</t>
        </is>
      </c>
      <c r="C58" s="71" t="n"/>
      <c r="D58" s="68" t="n"/>
      <c r="E58" s="18" t="inlineStr">
        <is>
          <t>只</t>
        </is>
      </c>
      <c r="F58" s="18" t="n"/>
      <c r="G58" s="72" t="n"/>
      <c r="H58" s="72">
        <f>F58*G58</f>
        <v/>
      </c>
      <c r="I58" s="22" t="n"/>
    </row>
    <row r="59" ht="27" customHeight="1" s="66">
      <c r="A59" s="22" t="n">
        <v>2</v>
      </c>
      <c r="B59" s="22" t="inlineStr">
        <is>
          <t>接线盒</t>
        </is>
      </c>
      <c r="C59" s="73" t="n"/>
      <c r="D59" s="68" t="n"/>
      <c r="E59" s="22" t="inlineStr">
        <is>
          <t>只</t>
        </is>
      </c>
      <c r="F59" s="22" t="n"/>
      <c r="G59" s="74" t="n"/>
      <c r="H59" s="72">
        <f>F59*G59</f>
        <v/>
      </c>
      <c r="I59" s="75" t="n"/>
    </row>
    <row r="60" ht="78" customHeight="1" s="66">
      <c r="A60" s="22" t="n">
        <v>3</v>
      </c>
      <c r="B60" s="22" t="inlineStr">
        <is>
          <t>称重显示控制器</t>
        </is>
      </c>
      <c r="C60" s="73" t="n"/>
      <c r="D60" s="68" t="n"/>
      <c r="E60" s="22" t="inlineStr">
        <is>
          <t>只</t>
        </is>
      </c>
      <c r="F60" s="22" t="n"/>
      <c r="G60" s="74" t="n"/>
      <c r="H60" s="72">
        <f>F60*G60</f>
        <v/>
      </c>
      <c r="I60" s="75" t="n"/>
    </row>
    <row r="61" ht="30" customHeight="1" s="66">
      <c r="A61" s="22" t="n">
        <v>4</v>
      </c>
      <c r="B61" s="22" t="inlineStr">
        <is>
          <t>信号电缆</t>
        </is>
      </c>
      <c r="C61" s="73" t="n"/>
      <c r="D61" s="68" t="n"/>
      <c r="E61" s="22" t="inlineStr">
        <is>
          <t>米</t>
        </is>
      </c>
      <c r="F61" s="22" t="n"/>
      <c r="G61" s="74" t="n"/>
      <c r="H61" s="72">
        <f>F61*G61</f>
        <v/>
      </c>
      <c r="I61" s="75" t="n"/>
    </row>
    <row r="62" ht="20" customHeight="1" s="66">
      <c r="A62" s="18" t="n">
        <v>5</v>
      </c>
      <c r="B62" s="22" t="inlineStr">
        <is>
          <t>上安装过渡板</t>
        </is>
      </c>
      <c r="C62" s="73" t="n"/>
      <c r="D62" s="68" t="n"/>
      <c r="E62" s="22" t="inlineStr">
        <is>
          <t>块</t>
        </is>
      </c>
      <c r="F62" s="22" t="n"/>
      <c r="G62" s="74" t="n"/>
      <c r="H62" s="72">
        <f>F62*G62</f>
        <v/>
      </c>
      <c r="I62" s="22" t="n"/>
    </row>
    <row r="63" ht="20" customHeight="1" s="66">
      <c r="A63" s="18" t="n">
        <v>6</v>
      </c>
      <c r="B63" s="22" t="inlineStr">
        <is>
          <t>下安装过渡板</t>
        </is>
      </c>
      <c r="C63" s="73" t="n"/>
      <c r="D63" s="68" t="n"/>
      <c r="E63" s="22" t="inlineStr">
        <is>
          <t>块</t>
        </is>
      </c>
      <c r="F63" s="22" t="n"/>
      <c r="G63" s="74" t="n"/>
      <c r="H63" s="72">
        <f>F63*G63</f>
        <v/>
      </c>
      <c r="I63" s="22" t="n"/>
    </row>
    <row r="64" ht="20" customHeight="1" s="66">
      <c r="A64" s="22" t="n">
        <v>7</v>
      </c>
      <c r="B64" s="18" t="inlineStr">
        <is>
          <t>小计</t>
        </is>
      </c>
      <c r="C64" s="18" t="n"/>
      <c r="D64" s="68" t="n"/>
      <c r="E64" s="18" t="inlineStr">
        <is>
          <t>套</t>
        </is>
      </c>
      <c r="F64" s="18" t="n">
        <v>1</v>
      </c>
      <c r="G64" s="74" t="n"/>
      <c r="H64" s="74">
        <f>SUM(H58:H63)</f>
        <v/>
      </c>
      <c r="I64" s="75" t="n"/>
    </row>
    <row r="65" ht="20" customHeight="1" s="66">
      <c r="A65" s="22" t="n">
        <v>8</v>
      </c>
      <c r="B65" s="18" t="inlineStr">
        <is>
          <t>套数合计</t>
        </is>
      </c>
      <c r="C65" s="18" t="n"/>
      <c r="D65" s="68" t="n"/>
      <c r="E65" s="18" t="inlineStr">
        <is>
          <t>套</t>
        </is>
      </c>
      <c r="F65" s="18" t="n"/>
      <c r="G65" s="74" t="n"/>
      <c r="H65" s="74">
        <f>H64*F65</f>
        <v/>
      </c>
      <c r="I65" s="75" t="n"/>
    </row>
    <row r="66" ht="20" customFormat="1" customHeight="1" s="2">
      <c r="A66" s="35" t="inlineStr">
        <is>
          <t>A</t>
        </is>
      </c>
      <c r="B66" s="35" t="inlineStr">
        <is>
          <t>设备合计</t>
        </is>
      </c>
      <c r="C66" s="35" t="n"/>
      <c r="D66" s="68" t="n"/>
      <c r="E66" s="35" t="inlineStr">
        <is>
          <t>套</t>
        </is>
      </c>
      <c r="F66" s="35">
        <f>SUMIF(B12:B66,"套数合计",F12:F66)</f>
        <v/>
      </c>
      <c r="G66" s="76" t="n"/>
      <c r="H66" s="76">
        <f>SUMIF(B12:B66,"套数合计",H12:H66)</f>
        <v/>
      </c>
      <c r="I66" s="77" t="n"/>
    </row>
    <row r="67" ht="20" customFormat="1" customHeight="1" s="2">
      <c r="A67" s="35" t="inlineStr">
        <is>
          <t>B</t>
        </is>
      </c>
      <c r="B67" s="35" t="inlineStr">
        <is>
          <t>服务费</t>
        </is>
      </c>
      <c r="C67" s="35" t="inlineStr">
        <is>
          <t>指导安装调试服务</t>
        </is>
      </c>
      <c r="D67" s="68" t="n"/>
      <c r="E67" s="35" t="inlineStr">
        <is>
          <t>次</t>
        </is>
      </c>
      <c r="F67" s="35" t="n">
        <v>1</v>
      </c>
      <c r="G67" s="76" t="n"/>
      <c r="H67" s="76">
        <f>F67*G67</f>
        <v/>
      </c>
      <c r="I67" s="77" t="n"/>
    </row>
    <row r="68" ht="34" customHeight="1" s="66">
      <c r="A68" s="13" t="inlineStr">
        <is>
          <t>价税合计
大写金额：</t>
        </is>
      </c>
      <c r="B68" s="68" t="n"/>
      <c r="C68" s="78">
        <f>IF(H68=0,"",CONCATENATE(IF(INT(H68)=0,"",TEXT(INT(H68),"[DBNum2][$-804]G/通用格式元")),IF(INT(MID(RIGHT(FIXED(H68,2,1),2),1,1))=0,IF(INT(MID(RIGHT(FIXED(H68,2,1),1),1,1))=0,"",IF(INT(H68)=0,"","零")),TEXT(INT(MID(RIGHT(FIXED(H68,2,1),2),1,1)),"[DBNum2][$-804]G/通用格式角")),IF(INT(MID(RIGHT(FIXED(H68,2,1),1),1,1))=0,"整",TEXT(INT(MID(RIGHT(FIXED(H68,2,1),1),1,1)),"[DBNum2][$-804]G/通用格式分"))))</f>
        <v/>
      </c>
      <c r="D68" s="70" t="n"/>
      <c r="E68" s="70" t="n"/>
      <c r="F68" s="68" t="n"/>
      <c r="G68" s="42" t="inlineStr">
        <is>
          <t>¥：</t>
        </is>
      </c>
      <c r="H68" s="79">
        <f>H66+H67</f>
        <v/>
      </c>
      <c r="I68" s="68" t="n"/>
    </row>
    <row r="69" ht="18" customHeight="1" s="66">
      <c r="A69" s="44" t="inlineStr">
        <is>
          <t>报价说明：</t>
        </is>
      </c>
      <c r="B69" s="45" t="n"/>
      <c r="C69" s="45" t="n"/>
      <c r="D69" s="45" t="n"/>
      <c r="E69" s="45" t="n"/>
      <c r="F69" s="45" t="n"/>
      <c r="G69" s="45" t="n"/>
      <c r="H69" s="45" t="n"/>
      <c r="I69" s="56" t="n"/>
    </row>
    <row r="70" ht="29" customHeight="1" s="66">
      <c r="A70" s="46" t="n"/>
      <c r="B70" s="57" t="inlineStr">
        <is>
          <t>1.此报价设备含13%增值税专用发票，服务费含6%增值税专用发票，含运（不含新疆、西藏、内蒙及港澳台地区），收到全款且完成发货后开具全额发票；</t>
        </is>
      </c>
      <c r="I70" s="80" t="n"/>
      <c r="J70" s="58" t="n"/>
      <c r="K70" s="58" t="n"/>
    </row>
    <row r="71" ht="20" customHeight="1" s="66">
      <c r="A71" s="46" t="n"/>
      <c r="B71" s="48" t="inlineStr">
        <is>
          <t>2.付款方式：预付30%，发货前付清；</t>
        </is>
      </c>
      <c r="I71" s="59" t="n"/>
      <c r="J71" s="58" t="n"/>
      <c r="K71" s="58" t="n"/>
    </row>
    <row r="72" ht="20" customHeight="1" s="66">
      <c r="A72" s="49" t="n"/>
      <c r="B72" s="60" t="inlineStr">
        <is>
          <t>3.质保期：货到现场12个月；</t>
        </is>
      </c>
      <c r="I72" s="80" t="n"/>
      <c r="J72" s="61" t="n"/>
      <c r="K72" s="61" t="n"/>
    </row>
    <row r="73" ht="20" customHeight="1" s="66">
      <c r="A73" s="46" t="n"/>
      <c r="B73" s="62" t="inlineStr">
        <is>
          <t>4.货期：收到预付款后20个工作日；</t>
        </is>
      </c>
      <c r="I73" s="80" t="n"/>
      <c r="J73" s="63" t="n"/>
      <c r="K73" s="63" t="n"/>
    </row>
    <row r="74" ht="36" customHeight="1" s="66">
      <c r="A74" s="46" t="n"/>
      <c r="B74" s="57" t="inlineStr">
        <is>
          <t>5.此报价不含现场服务，如需服务，费用另计；/需方负责公用工程、基础建设及以上产品到货后的卸货、搬运、仓储保管、安装固定、敷设拨接线缆以及校准用砝码或替代物，供方指导安装调试。</t>
        </is>
      </c>
      <c r="I74" s="80" t="n"/>
      <c r="J74" s="58" t="n"/>
      <c r="K74" s="58" t="n"/>
    </row>
    <row r="75" ht="20" customHeight="1" s="66">
      <c r="A75" s="46" t="n"/>
      <c r="B75" s="64" t="inlineStr">
        <is>
          <t>6.此报价不含上下安装过渡板及固定螺丝；（如不含过渡板，需注明）</t>
        </is>
      </c>
      <c r="I75" s="80" t="n"/>
    </row>
    <row r="76" ht="20" customHeight="1" s="66">
      <c r="A76" s="53" t="n"/>
      <c r="B76" s="7" t="inlineStr">
        <is>
          <t>7.报价有效期：30天。</t>
        </is>
      </c>
      <c r="C76" s="7" t="n"/>
      <c r="D76" s="7" t="n"/>
      <c r="E76" s="7" t="n"/>
      <c r="F76" s="7" t="n"/>
      <c r="G76" s="7" t="n"/>
      <c r="H76" s="7" t="n"/>
      <c r="I76" s="65" t="n"/>
    </row>
  </sheetData>
  <mergeCells count="68">
    <mergeCell ref="C34:D34"/>
    <mergeCell ref="B75:I75"/>
    <mergeCell ref="C24:D24"/>
    <mergeCell ref="C62:D62"/>
    <mergeCell ref="C15:D15"/>
    <mergeCell ref="C33:D33"/>
    <mergeCell ref="C42:D42"/>
    <mergeCell ref="C58:D58"/>
    <mergeCell ref="B72:I72"/>
    <mergeCell ref="C14:D14"/>
    <mergeCell ref="C45:D45"/>
    <mergeCell ref="C64:D64"/>
    <mergeCell ref="C26:D26"/>
    <mergeCell ref="A1:B3"/>
    <mergeCell ref="C35:D35"/>
    <mergeCell ref="B12:I12"/>
    <mergeCell ref="C20:D20"/>
    <mergeCell ref="H68:I68"/>
    <mergeCell ref="B70:I70"/>
    <mergeCell ref="B21:I21"/>
    <mergeCell ref="C29:D29"/>
    <mergeCell ref="C47:D47"/>
    <mergeCell ref="C16:D16"/>
    <mergeCell ref="B39:I39"/>
    <mergeCell ref="B48:I48"/>
    <mergeCell ref="C54:D54"/>
    <mergeCell ref="C25:D25"/>
    <mergeCell ref="C63:D63"/>
    <mergeCell ref="C41:D41"/>
    <mergeCell ref="C65:D65"/>
    <mergeCell ref="C55:D55"/>
    <mergeCell ref="C50:D50"/>
    <mergeCell ref="C68:F68"/>
    <mergeCell ref="C44:D44"/>
    <mergeCell ref="C22:D22"/>
    <mergeCell ref="C40:D40"/>
    <mergeCell ref="C31:D31"/>
    <mergeCell ref="A4:I4"/>
    <mergeCell ref="C56:D56"/>
    <mergeCell ref="B57:I57"/>
    <mergeCell ref="C59:D59"/>
    <mergeCell ref="B73:I73"/>
    <mergeCell ref="C43:D43"/>
    <mergeCell ref="C46:D46"/>
    <mergeCell ref="C60:D60"/>
    <mergeCell ref="B71:H71"/>
    <mergeCell ref="C11:D11"/>
    <mergeCell ref="C51:D51"/>
    <mergeCell ref="C27:D27"/>
    <mergeCell ref="C36:D36"/>
    <mergeCell ref="C61:D61"/>
    <mergeCell ref="C52:D52"/>
    <mergeCell ref="C17:D17"/>
    <mergeCell ref="C23:D23"/>
    <mergeCell ref="B74:I74"/>
    <mergeCell ref="B30:I30"/>
    <mergeCell ref="C32:D32"/>
    <mergeCell ref="C38:D38"/>
    <mergeCell ref="C67:D67"/>
    <mergeCell ref="A68:B68"/>
    <mergeCell ref="C19:D19"/>
    <mergeCell ref="C37:D37"/>
    <mergeCell ref="C28:D28"/>
    <mergeCell ref="C66:D66"/>
    <mergeCell ref="C13:D13"/>
    <mergeCell ref="C18:D18"/>
    <mergeCell ref="C53:D53"/>
    <mergeCell ref="C49:D49"/>
  </mergeCells>
  <pageMargins left="0.590277777777778" right="0.393055555555556" top="0.511805555555556" bottom="0.393055555555556" header="0.298611111111111" footer="0.156944444444444"/>
  <pageSetup orientation="portrait" paperSize="9" horizontalDpi="600"/>
  <headerFooter>
    <oddHeader/>
    <oddFooter>&amp;C第 &amp;P 页，共 &amp;N 页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COPA A多项目报价模板</dc:title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2026-08-30T23:24:19Z</dcterms:modified>
  <cp:lastModifiedBy>COPA</cp:lastModifiedBy>
  <cp:lastPrinted>2023-12-02T16:27:00Z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AA88D55746164F0EA273D127EF4D3C1A_13</vt:lpwstr>
  </property>
  <property name="KSOProductBuildVer" fmtid="{D5CDD505-2E9C-101B-9397-08002B2CF9AE}" pid="3">
    <vt:lpwstr xmlns:vt="http://schemas.openxmlformats.org/officeDocument/2006/docPropsVTypes">2052-12.1.0.22529</vt:lpwstr>
  </property>
</Properties>
</file>