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5552" windowHeight="16656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0_);[Red]\(#,##0.00\)"/>
  </numFmts>
  <fonts count="22">
    <font>
      <name val="宋体"/>
      <charset val="134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8"/>
    </font>
    <font>
      <name val="宋体"/>
      <charset val="134"/>
      <family val="3"/>
      <sz val="12"/>
    </font>
    <font>
      <name val="宋体"/>
      <charset val="134"/>
      <family val="3"/>
      <sz val="10"/>
    </font>
    <font>
      <name val="宋体"/>
      <charset val="134"/>
      <family val="3"/>
      <b val="1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sz val="9"/>
      <scheme val="minor"/>
    </font>
    <font>
      <name val="Times New Roman"/>
      <family val="1"/>
      <b val="1"/>
      <sz val="22"/>
    </font>
    <font>
      <name val="Times New Roman"/>
      <family val="1"/>
      <sz val="12"/>
    </font>
    <font>
      <name val="Times New Roman"/>
      <family val="1"/>
      <b val="1"/>
      <sz val="20"/>
    </font>
    <font>
      <name val="Times New Roman"/>
      <family val="1"/>
      <sz val="20"/>
    </font>
    <font>
      <name val="Times New Roman"/>
      <family val="1"/>
      <sz val="10"/>
    </font>
    <font>
      <name val="Times New Roman"/>
      <family val="1"/>
      <sz val="11"/>
    </font>
    <font>
      <name val="Times New Roman"/>
      <family val="1"/>
      <b val="1"/>
      <sz val="12"/>
    </font>
    <font>
      <name val="Microsoft YaHei UI"/>
      <charset val="134"/>
      <family val="2"/>
      <b val="1"/>
      <sz val="11"/>
    </font>
    <font>
      <name val="Timses New Roman"/>
      <sz val="10"/>
    </font>
    <font>
      <name val="Microsoft YaHei UI"/>
      <charset val="134"/>
      <family val="2"/>
      <sz val="10"/>
    </font>
    <font>
      <name val="Microsoft YaHei UI"/>
      <charset val="134"/>
      <family val="2"/>
      <sz val="11"/>
    </font>
    <font>
      <name val="Times New Roman"/>
      <family val="1"/>
      <color rgb="FFFF0000"/>
      <sz val="11"/>
    </font>
    <font>
      <name val="Times New Roman"/>
      <family val="1"/>
      <b val="1"/>
      <sz val="11"/>
    </font>
    <font>
      <name val="Times New Roman"/>
      <family val="1"/>
      <color rgb="FFFF0000"/>
      <sz val="18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166" fontId="17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0" fontId="1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right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right"/>
    </xf>
    <xf numFmtId="0" fontId="0" fillId="0" borderId="0" pivotButton="0" quotePrefix="0" xfId="0"/>
    <xf numFmtId="164" fontId="1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164" fontId="1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 wrapText="1"/>
    </xf>
    <xf numFmtId="166" fontId="17" fillId="0" borderId="1" applyAlignment="1" pivotButton="0" quotePrefix="0" xfId="0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020-23838615/23838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abSelected="1" topLeftCell="A55" workbookViewId="0">
      <selection activeCell="B62" sqref="B62:G63"/>
    </sheetView>
  </sheetViews>
  <sheetFormatPr baseColWidth="8" defaultColWidth="9" defaultRowHeight="15.6"/>
  <cols>
    <col width="4.88671875" customWidth="1" style="5" min="1" max="1"/>
    <col width="28.77734375" customWidth="1" style="5" min="2" max="2"/>
    <col width="5.109375" customWidth="1" style="5" min="3" max="3"/>
    <col width="6" customWidth="1" style="5" min="4" max="4"/>
    <col width="7" customWidth="1" style="53" min="5" max="5"/>
    <col width="10.21875" customWidth="1" style="53" min="6" max="6"/>
    <col width="29.88671875" customWidth="1" style="5" min="7" max="7"/>
    <col width="9" customWidth="1" style="4" min="8" max="8"/>
    <col width="9" customWidth="1" style="4" min="9" max="16384"/>
  </cols>
  <sheetData>
    <row r="1" ht="59.25" customHeight="1" s="54">
      <c r="A1" s="13" t="inlineStr">
        <is>
          <t xml:space="preserve">COPA B Co., Ltd.      </t>
        </is>
      </c>
    </row>
    <row r="2" ht="30.6" customFormat="1" customHeight="1" s="1">
      <c r="A2" s="16" t="inlineStr">
        <is>
          <t xml:space="preserve">Smart Weighing Solutions</t>
        </is>
      </c>
    </row>
    <row r="3" ht="30.6" customFormat="1" customHeight="1" s="1">
      <c r="A3" s="16" t="inlineStr">
        <is>
          <t xml:space="preserve"/>
        </is>
      </c>
    </row>
    <row r="4" ht="18" customFormat="1" customHeight="1" s="1">
      <c r="A4" s="16" t="inlineStr">
        <is>
          <t xml:space="preserve"/>
        </is>
      </c>
    </row>
    <row r="5" ht="18" customFormat="1" customHeight="1" s="2">
      <c r="A5" s="44" t="inlineStr">
        <is>
          <t xml:space="preserve">E-mail: contact@copa-demo.example </t>
        </is>
      </c>
    </row>
    <row r="6" ht="34.5" customFormat="1" customHeight="1" s="3">
      <c r="A6" s="18" t="inlineStr">
        <is>
          <t xml:space="preserve"> QUOTATION </t>
        </is>
      </c>
    </row>
    <row r="7" ht="18" customFormat="1" customHeight="1" s="3">
      <c r="A7" s="20" t="inlineStr">
        <is>
          <t>TO:</t>
        </is>
      </c>
      <c r="B7" s="20" t="n"/>
      <c r="C7" s="21" t="n"/>
      <c r="D7" s="20" t="n"/>
      <c r="E7" s="21" t="n"/>
      <c r="F7" s="20" t="inlineStr">
        <is>
          <t xml:space="preserve">SENDER: Contact COPA   </t>
        </is>
      </c>
      <c r="G7" s="20" t="n"/>
    </row>
    <row r="8" ht="18" customFormat="1" customHeight="1" s="3">
      <c r="A8" s="22" t="inlineStr">
        <is>
          <t>ATTN:</t>
        </is>
      </c>
      <c r="C8" s="21" t="n"/>
      <c r="D8" s="20" t="n"/>
      <c r="E8" s="21" t="n"/>
      <c r="F8" s="20" t="inlineStr">
        <is>
          <t xml:space="preserve">CC: </t>
        </is>
      </c>
      <c r="G8" s="20" t="n"/>
    </row>
    <row r="9" ht="18" customFormat="1" customHeight="1" s="3">
      <c r="A9" s="22" t="inlineStr">
        <is>
          <t>TEL:</t>
        </is>
      </c>
      <c r="C9" s="21" t="n"/>
      <c r="D9" s="20" t="n"/>
      <c r="E9" s="21" t="n"/>
      <c r="F9" s="20" t="inlineStr">
        <is>
          <t xml:space="preserve"/>
        </is>
      </c>
      <c r="G9" s="20" t="n"/>
    </row>
    <row r="10" ht="18" customFormat="1" customHeight="1" s="3">
      <c r="A10" s="22" t="inlineStr">
        <is>
          <t>DATE:</t>
        </is>
      </c>
      <c r="C10" s="22" t="n"/>
    </row>
    <row r="11" ht="40.95" customHeight="1" s="54">
      <c r="A11" s="26" t="inlineStr">
        <is>
          <t>No.</t>
        </is>
      </c>
      <c r="B11" s="26" t="inlineStr">
        <is>
          <t>Item / Model</t>
        </is>
      </c>
      <c r="C11" s="26" t="inlineStr">
        <is>
          <t>Unit</t>
        </is>
      </c>
      <c r="D11" s="26" t="inlineStr">
        <is>
          <t>Qty</t>
        </is>
      </c>
      <c r="E11" s="55" t="inlineStr">
        <is>
          <t>Unit Price (USD)</t>
        </is>
      </c>
      <c r="F11" s="55" t="inlineStr">
        <is>
          <t>Total Price (USD)</t>
        </is>
      </c>
      <c r="G11" s="26" t="inlineStr">
        <is>
          <t>Product Description</t>
        </is>
      </c>
    </row>
    <row r="12" ht="59.25" customHeight="1" s="54">
      <c r="A12" s="31" t="inlineStr">
        <is>
          <t>I</t>
        </is>
      </c>
      <c r="B12" s="56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12" s="57" t="n"/>
      <c r="D12" s="57" t="n"/>
      <c r="E12" s="57" t="n"/>
      <c r="F12" s="57" t="n"/>
      <c r="G12" s="58" t="n"/>
    </row>
    <row r="13" ht="106.05" customHeight="1" s="54">
      <c r="A13" s="26" t="n">
        <v>1</v>
      </c>
      <c r="B13" s="28" t="inlineStr">
        <is>
          <t>Weighing module</t>
        </is>
      </c>
      <c r="C13" s="29" t="inlineStr">
        <is>
          <t>pc</t>
        </is>
      </c>
      <c r="D13" s="29" t="n"/>
      <c r="E13" s="59" t="n"/>
      <c r="F13" s="59">
        <f>D13*E13</f>
        <v/>
      </c>
      <c r="G13" s="28" t="inlineStr">
        <is>
          <t>Load cell material: 17-4PH stainless steel, with G1/2 explosion-proof flexible conduit threaded joint; explosion-proof rating: Ex ia IIC T6 Ga Ex iaD 20 T80; module accessory material: nickel-plated alloy steel; Brand: flintec</t>
        </is>
      </c>
    </row>
    <row r="14" ht="79.95" customHeight="1" s="54">
      <c r="A14" s="26" t="n">
        <v>2</v>
      </c>
      <c r="B14" s="28" t="inlineStr">
        <is>
          <t>Junction box</t>
        </is>
      </c>
      <c r="C14" s="29" t="inlineStr">
        <is>
          <t>pc</t>
        </is>
      </c>
      <c r="D14" s="29" t="n"/>
      <c r="E14" s="59" t="n"/>
      <c r="F14" s="59">
        <f>D14*E14</f>
        <v/>
      </c>
      <c r="G14" s="28" t="inlineStr">
        <is>
          <t>Material: 304 stainless steel, with G1/2 explosion-proof flexible conduit threaded joint; explosion-proof rating: Ex ib IIC T4 Gb; Ex ib IIIC T130°C Db; Brand: flintec</t>
        </is>
      </c>
    </row>
    <row r="15" ht="24" customHeight="1" s="54">
      <c r="A15" s="26" t="n">
        <v>3</v>
      </c>
      <c r="B15" s="28" t="inlineStr">
        <is>
          <t>Weighing display controller</t>
        </is>
      </c>
      <c r="C15" s="29" t="inlineStr">
        <is>
          <t>pc</t>
        </is>
      </c>
      <c r="D15" s="29" t="n"/>
      <c r="E15" s="59" t="n"/>
      <c r="F15" s="59">
        <f>D15*E15</f>
        <v/>
      </c>
      <c r="G15" s="28" t="n"/>
    </row>
    <row r="16" ht="40.95" customHeight="1" s="54">
      <c r="A16" s="26" t="n">
        <v>4</v>
      </c>
      <c r="B16" s="28" t="inlineStr">
        <is>
          <t>Signal cable</t>
        </is>
      </c>
      <c r="C16" s="29" t="inlineStr">
        <is>
          <t>m</t>
        </is>
      </c>
      <c r="D16" s="29" t="n"/>
      <c r="E16" s="59" t="n"/>
      <c r="F16" s="59">
        <f>D16*E16</f>
        <v/>
      </c>
      <c r="G16" s="28" t="inlineStr">
        <is>
          <t>Double metal-wire-braid shielded 6-core cable; Brand: flintec</t>
        </is>
      </c>
    </row>
    <row r="17" ht="40.95" customHeight="1" s="54">
      <c r="A17" s="26" t="n">
        <v>5</v>
      </c>
      <c r="B17" s="28" t="inlineStr">
        <is>
          <t>Upper mounting adapter plate</t>
        </is>
      </c>
      <c r="C17" s="29" t="inlineStr">
        <is>
          <t>pc</t>
        </is>
      </c>
      <c r="D17" s="29" t="n"/>
      <c r="E17" s="59" t="n"/>
      <c r="F17" s="59">
        <f>D17*E17</f>
        <v/>
      </c>
      <c r="G17" s="28" t="inlineStr">
        <is>
          <t>Carbon steel, galvanized after surface treatment, with a full set of high-strength screws</t>
        </is>
      </c>
    </row>
    <row r="18" ht="40.95" customHeight="1" s="54">
      <c r="A18" s="26" t="n">
        <v>6</v>
      </c>
      <c r="B18" s="28" t="inlineStr">
        <is>
          <t>Lower mounting adapter plate</t>
        </is>
      </c>
      <c r="C18" s="29" t="inlineStr">
        <is>
          <t>pc</t>
        </is>
      </c>
      <c r="D18" s="29" t="n"/>
      <c r="E18" s="59" t="n"/>
      <c r="F18" s="59">
        <f>D18*E18</f>
        <v/>
      </c>
      <c r="G18" s="28" t="inlineStr">
        <is>
          <t>Carbon steel, galvanized after surface treatment, with a full set of high-strength screws</t>
        </is>
      </c>
    </row>
    <row r="19" ht="20.1" customHeight="1" s="54">
      <c r="A19" s="26" t="n">
        <v>7</v>
      </c>
      <c r="B19" s="28" t="inlineStr">
        <is>
          <t>Subtotal</t>
        </is>
      </c>
      <c r="C19" s="29" t="inlineStr">
        <is>
          <t>set</t>
        </is>
      </c>
      <c r="D19" s="29" t="n">
        <v>1</v>
      </c>
      <c r="E19" s="59" t="n"/>
      <c r="F19" s="59">
        <f>SUM(F13:F18)</f>
        <v/>
      </c>
      <c r="G19" s="28" t="n"/>
    </row>
    <row r="20" ht="20.1" customHeight="1" s="54">
      <c r="A20" s="26" t="n">
        <v>8</v>
      </c>
      <c r="B20" s="28" t="inlineStr">
        <is>
          <t>Sets Total</t>
        </is>
      </c>
      <c r="C20" s="29" t="inlineStr">
        <is>
          <t>set</t>
        </is>
      </c>
      <c r="D20" s="29" t="n"/>
      <c r="E20" s="59" t="n"/>
      <c r="F20" s="59">
        <f>F19*D20</f>
        <v/>
      </c>
      <c r="G20" s="28" t="n"/>
    </row>
    <row r="21" ht="59.25" customHeight="1" s="54">
      <c r="A21" s="31" t="inlineStr">
        <is>
          <t>II</t>
        </is>
      </c>
      <c r="B21" s="56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21" s="57" t="n"/>
      <c r="D21" s="57" t="n"/>
      <c r="E21" s="57" t="n"/>
      <c r="F21" s="57" t="n"/>
      <c r="G21" s="58" t="n"/>
    </row>
    <row r="22" ht="106.05" customHeight="1" s="54">
      <c r="A22" s="26" t="n">
        <v>1</v>
      </c>
      <c r="B22" s="28" t="inlineStr">
        <is>
          <t>Weighing module</t>
        </is>
      </c>
      <c r="C22" s="29" t="inlineStr">
        <is>
          <t>pc</t>
        </is>
      </c>
      <c r="D22" s="29" t="n"/>
      <c r="E22" s="59" t="n"/>
      <c r="F22" s="59">
        <f>D22*E22</f>
        <v/>
      </c>
      <c r="G22" s="28" t="inlineStr">
        <is>
          <t>Load cell material: 17-4PH stainless steel, with G1/2 explosion-proof flexible conduit threaded joint; explosion-proof rating: Ex ia IIC T6 Ga Ex iaD 20 T80; module accessory material: nickel-plated alloy steel; Brand: flintec</t>
        </is>
      </c>
    </row>
    <row r="23" ht="79.95" customHeight="1" s="54">
      <c r="A23" s="26" t="n">
        <v>2</v>
      </c>
      <c r="B23" s="28" t="inlineStr">
        <is>
          <t>Junction box</t>
        </is>
      </c>
      <c r="C23" s="29" t="inlineStr">
        <is>
          <t>pc</t>
        </is>
      </c>
      <c r="D23" s="29" t="n"/>
      <c r="E23" s="59" t="n"/>
      <c r="F23" s="59">
        <f>D23*E23</f>
        <v/>
      </c>
      <c r="G23" s="28" t="inlineStr">
        <is>
          <t>Material: 304 stainless steel, with G1/2 explosion-proof flexible conduit threaded joint; explosion-proof rating: Ex ib IIC T4 Gb; Ex ib IIIC T130°C Db; Brand: flintec</t>
        </is>
      </c>
    </row>
    <row r="24" ht="24" customHeight="1" s="54">
      <c r="A24" s="26" t="n">
        <v>3</v>
      </c>
      <c r="B24" s="28" t="inlineStr">
        <is>
          <t>Weighing display controller</t>
        </is>
      </c>
      <c r="C24" s="29" t="inlineStr">
        <is>
          <t>pc</t>
        </is>
      </c>
      <c r="D24" s="29" t="n"/>
      <c r="E24" s="59" t="n"/>
      <c r="F24" s="59">
        <f>D24*E24</f>
        <v/>
      </c>
      <c r="G24" s="28" t="n"/>
    </row>
    <row r="25" ht="40.95" customHeight="1" s="54">
      <c r="A25" s="26" t="n">
        <v>4</v>
      </c>
      <c r="B25" s="28" t="inlineStr">
        <is>
          <t>Signal cable</t>
        </is>
      </c>
      <c r="C25" s="29" t="inlineStr">
        <is>
          <t>m</t>
        </is>
      </c>
      <c r="D25" s="29" t="n"/>
      <c r="E25" s="59" t="n"/>
      <c r="F25" s="59">
        <f>D25*E25</f>
        <v/>
      </c>
      <c r="G25" s="28" t="inlineStr">
        <is>
          <t>Double metal-wire-braid shielded 6-core cable; Brand: flintec</t>
        </is>
      </c>
    </row>
    <row r="26" ht="40.95" customHeight="1" s="54">
      <c r="A26" s="26" t="n">
        <v>5</v>
      </c>
      <c r="B26" s="28" t="inlineStr">
        <is>
          <t>Upper mounting adapter plate</t>
        </is>
      </c>
      <c r="C26" s="29" t="inlineStr">
        <is>
          <t>pc</t>
        </is>
      </c>
      <c r="D26" s="29" t="n"/>
      <c r="E26" s="59" t="n"/>
      <c r="F26" s="59">
        <f>D26*E26</f>
        <v/>
      </c>
      <c r="G26" s="28" t="inlineStr">
        <is>
          <t>Carbon steel, galvanized after surface treatment, with a full set of high-strength screws</t>
        </is>
      </c>
    </row>
    <row r="27" ht="40.95" customHeight="1" s="54">
      <c r="A27" s="26" t="n">
        <v>6</v>
      </c>
      <c r="B27" s="28" t="inlineStr">
        <is>
          <t>Lower mounting adapter plate</t>
        </is>
      </c>
      <c r="C27" s="29" t="inlineStr">
        <is>
          <t>pc</t>
        </is>
      </c>
      <c r="D27" s="29" t="n"/>
      <c r="E27" s="59" t="n"/>
      <c r="F27" s="59">
        <f>D27*E27</f>
        <v/>
      </c>
      <c r="G27" s="28" t="inlineStr">
        <is>
          <t>Carbon steel, galvanized after surface treatment, with a full set of high-strength screws</t>
        </is>
      </c>
    </row>
    <row r="28" ht="20.1" customHeight="1" s="54">
      <c r="A28" s="26" t="n">
        <v>7</v>
      </c>
      <c r="B28" s="28" t="inlineStr">
        <is>
          <t>Subtotal</t>
        </is>
      </c>
      <c r="C28" s="29" t="inlineStr">
        <is>
          <t>set</t>
        </is>
      </c>
      <c r="D28" s="29" t="n">
        <v>1</v>
      </c>
      <c r="E28" s="59" t="n"/>
      <c r="F28" s="59">
        <f>SUM(F22:F27)</f>
        <v/>
      </c>
      <c r="G28" s="28" t="n"/>
    </row>
    <row r="29" ht="20.1" customHeight="1" s="54">
      <c r="A29" s="26" t="n">
        <v>8</v>
      </c>
      <c r="B29" s="28" t="inlineStr">
        <is>
          <t>Sets Total</t>
        </is>
      </c>
      <c r="C29" s="29" t="inlineStr">
        <is>
          <t>set</t>
        </is>
      </c>
      <c r="D29" s="29" t="n"/>
      <c r="E29" s="59" t="n"/>
      <c r="F29" s="59">
        <f>F28*D29</f>
        <v/>
      </c>
      <c r="G29" s="28" t="n"/>
    </row>
    <row r="30" ht="59.25" customHeight="1" s="54">
      <c r="A30" s="31" t="inlineStr">
        <is>
          <t>III</t>
        </is>
      </c>
      <c r="B30" s="56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30" s="57" t="n"/>
      <c r="D30" s="57" t="n"/>
      <c r="E30" s="57" t="n"/>
      <c r="F30" s="57" t="n"/>
      <c r="G30" s="58" t="n"/>
    </row>
    <row r="31" ht="106.05" customHeight="1" s="54">
      <c r="A31" s="26" t="n">
        <v>1</v>
      </c>
      <c r="B31" s="32" t="inlineStr">
        <is>
          <t>Weighing module</t>
        </is>
      </c>
      <c r="C31" s="33" t="inlineStr">
        <is>
          <t>pc</t>
        </is>
      </c>
      <c r="D31" s="33" t="n"/>
      <c r="E31" s="55" t="n"/>
      <c r="F31" s="55">
        <f>D31*E31</f>
        <v/>
      </c>
      <c r="G31" s="32" t="inlineStr">
        <is>
          <t>Load cell material: 17-4PH stainless steel, with G1/2 explosion-proof flexible conduit threaded joint; explosion-proof rating: Ex ia IIC T6 Ga Ex iaD 20 T80; module accessory material: nickel-plated alloy steel; Brand: flintec</t>
        </is>
      </c>
    </row>
    <row r="32" ht="79.95" customHeight="1" s="54">
      <c r="A32" s="26" t="n">
        <v>2</v>
      </c>
      <c r="B32" s="32" t="inlineStr">
        <is>
          <t>Junction box</t>
        </is>
      </c>
      <c r="C32" s="33" t="inlineStr">
        <is>
          <t>pc</t>
        </is>
      </c>
      <c r="D32" s="33" t="n"/>
      <c r="E32" s="55" t="n"/>
      <c r="F32" s="55">
        <f>D32*E32</f>
        <v/>
      </c>
      <c r="G32" s="32" t="inlineStr">
        <is>
          <t>Material: 304 stainless steel, with G1/2 explosion-proof flexible conduit threaded joint; explosion-proof rating: Ex ib IIC T4 Gb; Ex ib IIIC T130°C Db; Brand: flintec</t>
        </is>
      </c>
    </row>
    <row r="33" ht="24" customHeight="1" s="54">
      <c r="A33" s="26" t="n">
        <v>3</v>
      </c>
      <c r="B33" s="32" t="inlineStr">
        <is>
          <t>Weighing display controller</t>
        </is>
      </c>
      <c r="C33" s="33" t="inlineStr">
        <is>
          <t>pc</t>
        </is>
      </c>
      <c r="D33" s="33" t="n"/>
      <c r="E33" s="55" t="n"/>
      <c r="F33" s="55">
        <f>D33*E33</f>
        <v/>
      </c>
      <c r="G33" s="32" t="n"/>
    </row>
    <row r="34" ht="40.95" customHeight="1" s="54">
      <c r="A34" s="26" t="n">
        <v>4</v>
      </c>
      <c r="B34" s="32" t="inlineStr">
        <is>
          <t>Signal cable</t>
        </is>
      </c>
      <c r="C34" s="33" t="inlineStr">
        <is>
          <t>m</t>
        </is>
      </c>
      <c r="D34" s="33" t="n"/>
      <c r="E34" s="55" t="n"/>
      <c r="F34" s="55">
        <f>D34*E34</f>
        <v/>
      </c>
      <c r="G34" s="32" t="inlineStr">
        <is>
          <t>Double metal-wire-braid shielded 6-core cable; Brand: flintec</t>
        </is>
      </c>
    </row>
    <row r="35" ht="40.95" customHeight="1" s="54">
      <c r="A35" s="26" t="n">
        <v>5</v>
      </c>
      <c r="B35" s="32" t="inlineStr">
        <is>
          <t>Upper mounting adapter plate</t>
        </is>
      </c>
      <c r="C35" s="33" t="inlineStr">
        <is>
          <t>pc</t>
        </is>
      </c>
      <c r="D35" s="33" t="n"/>
      <c r="E35" s="55" t="n"/>
      <c r="F35" s="55">
        <f>D35*E35</f>
        <v/>
      </c>
      <c r="G35" s="32" t="inlineStr">
        <is>
          <t>Carbon steel, galvanized after surface treatment, with a full set of high-strength screws</t>
        </is>
      </c>
    </row>
    <row r="36" ht="40.95" customHeight="1" s="54">
      <c r="A36" s="26" t="n">
        <v>6</v>
      </c>
      <c r="B36" s="32" t="inlineStr">
        <is>
          <t>Lower mounting adapter plate</t>
        </is>
      </c>
      <c r="C36" s="33" t="inlineStr">
        <is>
          <t>pc</t>
        </is>
      </c>
      <c r="D36" s="33" t="n"/>
      <c r="E36" s="55" t="n"/>
      <c r="F36" s="55">
        <f>D36*E36</f>
        <v/>
      </c>
      <c r="G36" s="32" t="inlineStr">
        <is>
          <t>Carbon steel, galvanized after surface treatment, with a full set of high-strength screws</t>
        </is>
      </c>
    </row>
    <row r="37" ht="20.1" customHeight="1" s="54">
      <c r="A37" s="26" t="n">
        <v>7</v>
      </c>
      <c r="B37" s="32" t="inlineStr">
        <is>
          <t>Subtotal</t>
        </is>
      </c>
      <c r="C37" s="33" t="inlineStr">
        <is>
          <t>set</t>
        </is>
      </c>
      <c r="D37" s="33" t="n">
        <v>1</v>
      </c>
      <c r="E37" s="55" t="n"/>
      <c r="F37" s="55">
        <f>SUM(F31:F36)</f>
        <v/>
      </c>
      <c r="G37" s="32" t="n"/>
    </row>
    <row r="38" ht="20.1" customHeight="1" s="54">
      <c r="A38" s="26" t="n">
        <v>8</v>
      </c>
      <c r="B38" s="32" t="inlineStr">
        <is>
          <t>Sets Total</t>
        </is>
      </c>
      <c r="C38" s="33" t="inlineStr">
        <is>
          <t>set</t>
        </is>
      </c>
      <c r="D38" s="33" t="n"/>
      <c r="E38" s="55" t="n"/>
      <c r="F38" s="55">
        <f>F37*D38</f>
        <v/>
      </c>
      <c r="G38" s="32" t="n"/>
    </row>
    <row r="39" ht="59.25" customHeight="1" s="54">
      <c r="A39" s="31" t="inlineStr">
        <is>
          <t>IV</t>
        </is>
      </c>
      <c r="B39" s="56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39" s="57" t="n"/>
      <c r="D39" s="57" t="n"/>
      <c r="E39" s="57" t="n"/>
      <c r="F39" s="57" t="n"/>
      <c r="G39" s="58" t="n"/>
    </row>
    <row r="40" ht="106.05" customHeight="1" s="54">
      <c r="A40" s="7" t="n">
        <v>1</v>
      </c>
      <c r="B40" s="9" t="inlineStr">
        <is>
          <t>Weighing module</t>
        </is>
      </c>
      <c r="C40" s="10" t="inlineStr">
        <is>
          <t>pc</t>
        </is>
      </c>
      <c r="D40" s="10" t="n"/>
      <c r="E40" s="60" t="n"/>
      <c r="F40" s="60">
        <f>D40*E40</f>
        <v/>
      </c>
      <c r="G40" s="9" t="inlineStr">
        <is>
          <t>Load cell material: 17-4PH stainless steel, with G1/2 explosion-proof flexible conduit threaded joint; explosion-proof rating: Ex ia IIC T6 Ga Ex iaD 20 T80; module accessory material: nickel-plated alloy steel; Brand: flintec</t>
        </is>
      </c>
    </row>
    <row r="41" ht="79.95" customHeight="1" s="54">
      <c r="A41" s="7" t="n">
        <v>2</v>
      </c>
      <c r="B41" s="9" t="inlineStr">
        <is>
          <t>Junction box</t>
        </is>
      </c>
      <c r="C41" s="10" t="inlineStr">
        <is>
          <t>pc</t>
        </is>
      </c>
      <c r="D41" s="10" t="n"/>
      <c r="E41" s="60" t="n"/>
      <c r="F41" s="60">
        <f>D41*E41</f>
        <v/>
      </c>
      <c r="G41" s="9" t="inlineStr">
        <is>
          <t>Material: 304 stainless steel, with G1/2 explosion-proof flexible conduit threaded joint; explosion-proof rating: Ex ib IIC T4 Gb; Ex ib IIIC T130°C Db; Brand: flintec</t>
        </is>
      </c>
    </row>
    <row r="42" ht="24" customHeight="1" s="54">
      <c r="A42" s="7" t="n">
        <v>3</v>
      </c>
      <c r="B42" s="9" t="inlineStr">
        <is>
          <t>Weighing display controller</t>
        </is>
      </c>
      <c r="C42" s="10" t="inlineStr">
        <is>
          <t>pc</t>
        </is>
      </c>
      <c r="D42" s="10" t="n"/>
      <c r="E42" s="60" t="n"/>
      <c r="F42" s="60">
        <f>D42*E42</f>
        <v/>
      </c>
      <c r="G42" s="9" t="n"/>
    </row>
    <row r="43" ht="40.95" customHeight="1" s="54">
      <c r="A43" s="7" t="n">
        <v>4</v>
      </c>
      <c r="B43" s="9" t="inlineStr">
        <is>
          <t>Signal cable</t>
        </is>
      </c>
      <c r="C43" s="10" t="inlineStr">
        <is>
          <t>m</t>
        </is>
      </c>
      <c r="D43" s="10" t="n"/>
      <c r="E43" s="60" t="n"/>
      <c r="F43" s="60">
        <f>D43*E43</f>
        <v/>
      </c>
      <c r="G43" s="9" t="inlineStr">
        <is>
          <t>Double metal-wire-braid shielded 6-core cable; Brand: flintec</t>
        </is>
      </c>
    </row>
    <row r="44" ht="40.95" customHeight="1" s="54">
      <c r="A44" s="7" t="n">
        <v>5</v>
      </c>
      <c r="B44" s="9" t="inlineStr">
        <is>
          <t>Upper mounting adapter plate</t>
        </is>
      </c>
      <c r="C44" s="10" t="inlineStr">
        <is>
          <t>pc</t>
        </is>
      </c>
      <c r="D44" s="34" t="n"/>
      <c r="E44" s="60" t="n"/>
      <c r="F44" s="60">
        <f>D44*E44</f>
        <v/>
      </c>
      <c r="G44" s="9" t="inlineStr">
        <is>
          <t>Carbon steel, galvanized after surface treatment, with a full set of high-strength screws</t>
        </is>
      </c>
    </row>
    <row r="45" ht="40.95" customHeight="1" s="54">
      <c r="A45" s="7" t="n">
        <v>6</v>
      </c>
      <c r="B45" s="9" t="inlineStr">
        <is>
          <t>Lower mounting adapter plate</t>
        </is>
      </c>
      <c r="C45" s="10" t="inlineStr">
        <is>
          <t>pc</t>
        </is>
      </c>
      <c r="D45" s="10" t="n"/>
      <c r="E45" s="60" t="n"/>
      <c r="F45" s="60">
        <f>D45*E45</f>
        <v/>
      </c>
      <c r="G45" s="9" t="inlineStr">
        <is>
          <t>Carbon steel, galvanized after surface treatment, with a full set of high-strength screws</t>
        </is>
      </c>
    </row>
    <row r="46" ht="20.1" customHeight="1" s="54">
      <c r="A46" s="7" t="n">
        <v>7</v>
      </c>
      <c r="B46" s="9" t="inlineStr">
        <is>
          <t>Subtotal</t>
        </is>
      </c>
      <c r="C46" s="10" t="inlineStr">
        <is>
          <t>set</t>
        </is>
      </c>
      <c r="D46" s="10" t="n">
        <v>1</v>
      </c>
      <c r="E46" s="60" t="n"/>
      <c r="F46" s="60">
        <f>SUM(F40:F45)</f>
        <v/>
      </c>
      <c r="G46" s="9" t="n"/>
    </row>
    <row r="47" ht="20.1" customHeight="1" s="54">
      <c r="A47" s="7" t="n">
        <v>8</v>
      </c>
      <c r="B47" s="9" t="inlineStr">
        <is>
          <t>Sets Total</t>
        </is>
      </c>
      <c r="C47" s="10" t="inlineStr">
        <is>
          <t>set</t>
        </is>
      </c>
      <c r="D47" s="10" t="n"/>
      <c r="E47" s="60" t="n"/>
      <c r="F47" s="60">
        <f>F46*D47</f>
        <v/>
      </c>
      <c r="G47" s="9" t="n"/>
    </row>
    <row r="48" ht="59.25" customHeight="1" s="54">
      <c r="A48" s="31" t="inlineStr">
        <is>
          <t>V</t>
        </is>
      </c>
      <c r="B48" s="56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48" s="57" t="n"/>
      <c r="D48" s="57" t="n"/>
      <c r="E48" s="57" t="n"/>
      <c r="F48" s="57" t="n"/>
      <c r="G48" s="58" t="n"/>
    </row>
    <row r="49" ht="106.05" customHeight="1" s="54">
      <c r="A49" s="26" t="n">
        <v>1</v>
      </c>
      <c r="B49" s="28" t="inlineStr">
        <is>
          <t>Weighing module</t>
        </is>
      </c>
      <c r="C49" s="29" t="inlineStr">
        <is>
          <t>pc</t>
        </is>
      </c>
      <c r="D49" s="29" t="n"/>
      <c r="E49" s="59" t="n"/>
      <c r="F49" s="59">
        <f>D49*E49</f>
        <v/>
      </c>
      <c r="G49" s="28" t="inlineStr">
        <is>
          <t>Load cell material: 17-4PH stainless steel, with G1/2 explosion-proof flexible conduit threaded joint; explosion-proof rating: Ex ia IIC T6 Ga Ex iaD 20 T80; module accessory material: nickel-plated alloy steel; Brand: flintec</t>
        </is>
      </c>
    </row>
    <row r="50" ht="79.95" customHeight="1" s="54">
      <c r="A50" s="26" t="n">
        <v>2</v>
      </c>
      <c r="B50" s="28" t="inlineStr">
        <is>
          <t>Junction box</t>
        </is>
      </c>
      <c r="C50" s="29" t="inlineStr">
        <is>
          <t>pc</t>
        </is>
      </c>
      <c r="D50" s="29" t="n"/>
      <c r="E50" s="59" t="n"/>
      <c r="F50" s="59">
        <f>D50*E50</f>
        <v/>
      </c>
      <c r="G50" s="28" t="inlineStr">
        <is>
          <t>Material: 304 stainless steel, with G1/2 explosion-proof flexible conduit threaded joint; explosion-proof rating: Ex ib IIC T4 Gb; Ex ib IIIC T130°C Db; Brand: flintec</t>
        </is>
      </c>
    </row>
    <row r="51" ht="24" customHeight="1" s="54">
      <c r="A51" s="26" t="n">
        <v>3</v>
      </c>
      <c r="B51" s="28" t="inlineStr">
        <is>
          <t>Weighing display controller</t>
        </is>
      </c>
      <c r="C51" s="29" t="inlineStr">
        <is>
          <t>pc</t>
        </is>
      </c>
      <c r="D51" s="29" t="n"/>
      <c r="E51" s="59" t="n"/>
      <c r="F51" s="59">
        <f>D51*E51</f>
        <v/>
      </c>
      <c r="G51" s="28" t="n"/>
    </row>
    <row r="52" ht="40.95" customHeight="1" s="54">
      <c r="A52" s="26" t="n">
        <v>4</v>
      </c>
      <c r="B52" s="28" t="inlineStr">
        <is>
          <t>Signal cable</t>
        </is>
      </c>
      <c r="C52" s="29" t="inlineStr">
        <is>
          <t>m</t>
        </is>
      </c>
      <c r="D52" s="29" t="n"/>
      <c r="E52" s="59" t="n"/>
      <c r="F52" s="59">
        <f>D52*E52</f>
        <v/>
      </c>
      <c r="G52" s="28" t="inlineStr">
        <is>
          <t>Double metal-wire-braid shielded 6-core cable; Brand: flintec</t>
        </is>
      </c>
    </row>
    <row r="53" ht="40.95" customHeight="1" s="54">
      <c r="A53" s="26" t="n">
        <v>5</v>
      </c>
      <c r="B53" s="28" t="inlineStr">
        <is>
          <t>Upper mounting adapter plate</t>
        </is>
      </c>
      <c r="C53" s="29" t="inlineStr">
        <is>
          <t>pc</t>
        </is>
      </c>
      <c r="D53" s="29" t="n"/>
      <c r="E53" s="59" t="n"/>
      <c r="F53" s="59">
        <f>D53*E53</f>
        <v/>
      </c>
      <c r="G53" s="28" t="inlineStr">
        <is>
          <t>Carbon steel, galvanized after surface treatment, with a full set of high-strength screws</t>
        </is>
      </c>
    </row>
    <row r="54" ht="40.95" customHeight="1" s="54">
      <c r="A54" s="26" t="n">
        <v>6</v>
      </c>
      <c r="B54" s="28" t="inlineStr">
        <is>
          <t>Lower mounting adapter plate</t>
        </is>
      </c>
      <c r="C54" s="29" t="inlineStr">
        <is>
          <t>pc</t>
        </is>
      </c>
      <c r="D54" s="29" t="n"/>
      <c r="E54" s="59" t="n"/>
      <c r="F54" s="59">
        <f>D54*E54</f>
        <v/>
      </c>
      <c r="G54" s="28" t="inlineStr">
        <is>
          <t>Carbon steel, galvanized after surface treatment, with a full set of high-strength screws</t>
        </is>
      </c>
    </row>
    <row r="55" ht="20.1" customHeight="1" s="54">
      <c r="A55" s="26" t="n">
        <v>7</v>
      </c>
      <c r="B55" s="28" t="inlineStr">
        <is>
          <t>Subtotal</t>
        </is>
      </c>
      <c r="C55" s="29" t="inlineStr">
        <is>
          <t>set</t>
        </is>
      </c>
      <c r="D55" s="29" t="n">
        <v>1</v>
      </c>
      <c r="E55" s="59" t="n"/>
      <c r="F55" s="59">
        <f>SUM(F49:F54)</f>
        <v/>
      </c>
      <c r="G55" s="28" t="n"/>
    </row>
    <row r="56" ht="20.1" customHeight="1" s="54">
      <c r="A56" s="26" t="n">
        <v>8</v>
      </c>
      <c r="B56" s="28" t="inlineStr">
        <is>
          <t>Sets Total</t>
        </is>
      </c>
      <c r="C56" s="29" t="inlineStr">
        <is>
          <t>set</t>
        </is>
      </c>
      <c r="D56" s="29" t="n"/>
      <c r="E56" s="59" t="n"/>
      <c r="F56" s="59">
        <f>F55*D56</f>
        <v/>
      </c>
      <c r="G56" s="28" t="n"/>
    </row>
    <row r="57" ht="20.1" customHeight="1" s="54">
      <c r="A57" s="31" t="inlineStr">
        <is>
          <t>A</t>
        </is>
      </c>
      <c r="B57" s="35" t="inlineStr">
        <is>
          <t>Equipment Total</t>
        </is>
      </c>
      <c r="C57" s="36" t="inlineStr">
        <is>
          <t>set</t>
        </is>
      </c>
      <c r="D57" s="61">
        <f>SUMIF(B12:B57,"Sets Total",D12:D57)</f>
        <v/>
      </c>
      <c r="E57" s="62" t="n"/>
      <c r="F57" s="62">
        <f>SUMIF(B12:B57,"Sets Total",F12:F57)</f>
        <v/>
      </c>
      <c r="G57" s="39" t="n"/>
    </row>
    <row r="58" ht="20.1" customHeight="1" s="54">
      <c r="A58" s="31" t="inlineStr">
        <is>
          <t>B</t>
        </is>
      </c>
      <c r="B58" s="35" t="inlineStr">
        <is>
          <t>Grand Total</t>
        </is>
      </c>
      <c r="C58" s="40" t="inlineStr">
        <is>
          <t>set</t>
        </is>
      </c>
      <c r="D58" s="61">
        <f>D57</f>
        <v/>
      </c>
      <c r="E58" s="62" t="n"/>
      <c r="F58" s="62">
        <f>F57</f>
        <v/>
      </c>
      <c r="G58" s="63" t="n"/>
    </row>
    <row r="59" ht="18" customHeight="1" s="54">
      <c r="A59" s="42" t="inlineStr">
        <is>
          <t>Terms &amp; Conditions:</t>
        </is>
      </c>
      <c r="B59" s="43" t="n"/>
      <c r="C59" s="43" t="n"/>
      <c r="D59" s="43" t="n"/>
      <c r="E59" s="43" t="n"/>
      <c r="F59" s="43" t="n"/>
      <c r="G59" s="43" t="n"/>
      <c r="H59" s="43" t="n"/>
    </row>
    <row r="60" ht="36" customHeight="1" s="54">
      <c r="A60" s="42" t="n"/>
      <c r="B60" s="16" t="inlineStr">
        <is>
          <t>1.Packing: Cartons
  包装：纸箱</t>
        </is>
      </c>
      <c r="H60" s="43" t="n"/>
    </row>
    <row r="61" ht="37.2" customHeight="1" s="54">
      <c r="A61" s="42" t="n"/>
      <c r="B61" s="16" t="inlineStr">
        <is>
          <t>2.Payment：100% T/T
  支付方式：100% T/T</t>
        </is>
      </c>
      <c r="H61" s="43" t="n"/>
    </row>
    <row r="62" ht="53.4" customHeight="1" s="54">
      <c r="A62" s="42" t="n"/>
      <c r="B62" s="16" t="inlineStr">
        <is>
          <t>3.Warranty：12 Months against delivery date；
  质保：交货后起算12个月</t>
        </is>
      </c>
      <c r="H62" s="43" t="n"/>
    </row>
    <row r="63" ht="51.6" customHeight="1" s="54">
      <c r="A63" s="45" t="n"/>
      <c r="B63" s="16" t="inlineStr">
        <is>
          <t>4.Delivery：Dispatch within 30 working days after receiving full payment, freight charge within China (non-remote area) included.
  交货：收到全款后30个工作日内发货，价格含国内非偏远地区运费</t>
        </is>
      </c>
      <c r="H63" s="43" t="n"/>
    </row>
    <row r="64" ht="47.4" customHeight="1" s="54">
      <c r="A64" s="45" t="n"/>
      <c r="B64" s="46" t="inlineStr">
        <is>
          <t>5.If verification is required, it shall be responsible by the side of request.
   如需检定，需方自行负责</t>
        </is>
      </c>
      <c r="H64" s="49" t="n"/>
    </row>
    <row r="65" ht="32.4" customFormat="1" customHeight="1" s="1">
      <c r="A65" s="50" t="n"/>
      <c r="B65" s="44" t="inlineStr">
        <is>
          <t>6.Quotation vaildity：14 days
   报价有效期：14天</t>
        </is>
      </c>
    </row>
    <row r="66" ht="76.8" customFormat="1" customHeight="1" s="1">
      <c r="A66" s="50" t="n"/>
      <c r="B66" s="16" t="inlineStr">
        <is>
          <t>7. Accuracy is closely related to the equipment environment; factors such as the tank foundation structure, piping connections, electromagnetic interference and temperature may all affect the accuracy.
  精度与设备环境密切相关，罐子基础结构、管道连接、电磁干扰、温度等因素都可能影响到精度。</t>
        </is>
      </c>
      <c r="H66" s="42" t="n"/>
    </row>
    <row r="67" ht="29.4" customFormat="1" customHeight="1" s="1">
      <c r="A67" s="50" t="n"/>
      <c r="B67" s="44" t="inlineStr">
        <is>
          <t>8. Quotation above are exclusive of ramp or adapting plates.
   以上报价不包含引坡，以及安装过渡板</t>
        </is>
      </c>
      <c r="H67" s="42" t="n"/>
    </row>
  </sheetData>
  <mergeCells count="23">
    <mergeCell ref="B60:G60"/>
    <mergeCell ref="B67:G67"/>
    <mergeCell ref="B65:H65"/>
    <mergeCell ref="B61:G61"/>
    <mergeCell ref="A4:G4"/>
    <mergeCell ref="C10:G10"/>
    <mergeCell ref="B30:G30"/>
    <mergeCell ref="B64:G64"/>
    <mergeCell ref="A1:G1"/>
    <mergeCell ref="A6:G6"/>
    <mergeCell ref="B63:G63"/>
    <mergeCell ref="B62:G62"/>
    <mergeCell ref="A8:B8"/>
    <mergeCell ref="B66:G66"/>
    <mergeCell ref="A3:G3"/>
    <mergeCell ref="A10:B10"/>
    <mergeCell ref="A2:G2"/>
    <mergeCell ref="B12:G12"/>
    <mergeCell ref="A9:B9"/>
    <mergeCell ref="B21:G21"/>
    <mergeCell ref="B48:G48"/>
    <mergeCell ref="B39:G39"/>
    <mergeCell ref="A5:G5"/>
  </mergeCells>
  <hyperlinks>
    <hyperlink xmlns:r="http://schemas.openxmlformats.org/officeDocument/2006/relationships" ref="F9" r:id="rId1"/>
  </hyperlinks>
  <pageMargins left="0.550694444444444" right="0.314583333333333" top="0.354166666666667" bottom="0.511805555555556" header="0.314583333333333" footer="0.314583333333333"/>
  <pageSetup orientation="portrait" paperSize="9"/>
  <headerFooter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COPA B Multi-Project Quotation Template (EN)</dc:title>
  <dcterms:created xmlns:dcterms="http://purl.org/dc/terms/" xmlns:xsi="http://www.w3.org/2001/XMLSchema-instance" xsi:type="dcterms:W3CDTF">2024-04-11T01:47:00Z</dcterms:created>
  <dcterms:modified xmlns:dcterms="http://purl.org/dc/terms/" xmlns:xsi="http://www.w3.org/2001/XMLSchema-instance" xsi:type="dcterms:W3CDTF">2026-09-07T23:27:27Z</dcterms:modified>
  <cp:lastModifiedBy>COPA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8FB7EF116EEF4CA1A6220E8930ECCFFD_11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