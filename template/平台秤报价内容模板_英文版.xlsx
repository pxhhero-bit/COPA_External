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5552" windowHeight="16656" tabRatio="600" firstSheet="0" activeTab="0" autoFilterDateGrouping="1"/>
  </bookViews>
  <sheets>
    <sheet xmlns:r="http://schemas.openxmlformats.org/officeDocument/2006/relationships" name="Quotation Cont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#,##0_ "/>
  </numFmts>
  <fonts count="7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10"/>
    </font>
    <font>
      <name val="宋体"/>
      <charset val="134"/>
      <family val="3"/>
      <color theme="1"/>
      <sz val="11"/>
    </font>
    <font>
      <name val="宋体"/>
      <charset val="134"/>
      <family val="3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 wrapText="1"/>
    </xf>
    <xf numFmtId="0" fontId="2" fillId="0" borderId="3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2" fillId="0" borderId="6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65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165" fontId="3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" fillId="0" borderId="1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5" pivotButton="0" quotePrefix="0" xfId="0"/>
    <xf numFmtId="0" fontId="2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7" pivotButton="0" quotePrefix="0" xfId="0"/>
    <xf numFmtId="0" fontId="1" fillId="0" borderId="1" applyAlignment="1" pivotButton="0" quotePrefix="0" xfId="0">
      <alignment vertical="center" wrapText="1"/>
    </xf>
    <xf numFmtId="0" fontId="0" fillId="0" borderId="9" pivotButton="0" quotePrefix="0" xfId="0"/>
    <xf numFmtId="164" fontId="1" fillId="0" borderId="1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B5" sqref="B5:H5"/>
    </sheetView>
  </sheetViews>
  <sheetFormatPr baseColWidth="8" defaultRowHeight="14.4"/>
  <cols>
    <col width="10.33203125" customWidth="1" style="26" min="1" max="1"/>
    <col width="14.109375" customWidth="1" style="26" min="2" max="2"/>
    <col width="36.88671875" customWidth="1" style="26" min="3" max="3"/>
    <col width="7.6640625" customWidth="1" style="26" min="4" max="4"/>
    <col width="7.21875" customWidth="1" style="26" min="5" max="5"/>
    <col width="9.77734375" customWidth="1" style="26" min="6" max="6"/>
    <col width="10" customWidth="1" style="26" min="7" max="7"/>
    <col width="9" customWidth="1" style="26" min="8" max="8"/>
    <col width="10.44140625" customWidth="1" style="26" min="9" max="9"/>
  </cols>
  <sheetData>
    <row r="1" ht="18" customHeight="1" s="26">
      <c r="A1" s="1" t="inlineStr">
        <is>
          <t>No.</t>
        </is>
      </c>
      <c r="B1" s="1" t="inlineStr">
        <is>
          <t>Item</t>
        </is>
      </c>
      <c r="C1" s="2" t="inlineStr">
        <is>
          <t>Model &amp; Description</t>
        </is>
      </c>
      <c r="D1" s="1" t="inlineStr">
        <is>
          <t>Unit</t>
        </is>
      </c>
      <c r="E1" s="33" t="inlineStr">
        <is>
          <t>Qty</t>
        </is>
      </c>
      <c r="F1" s="33" t="inlineStr">
        <is>
          <t>Unit Price (USD)</t>
        </is>
      </c>
      <c r="G1" s="33" t="inlineStr">
        <is>
          <t>Total Price (USD)</t>
        </is>
      </c>
      <c r="H1" s="1" t="inlineStr">
        <is>
          <t>Remarks</t>
        </is>
      </c>
      <c r="I1" s="4" t="n"/>
    </row>
    <row r="2" ht="237.75" customHeight="1" s="26">
      <c r="A2" s="16">
        <f>ROW()-1</f>
        <v/>
      </c>
      <c r="B2" s="17" t="n"/>
      <c r="C2" s="21" t="inlineStr">
        <is>
          <t>Model:
1. Material:
2. Platform size: mm;
3. Capacity: kg, verification scale interval e = kg, display scale interval d = kg, accuracy class C3;
4. Load cells*4 (material: ); Brand: 
5. Junction box*1; Brand: 
6. Weighing indicator ()*1; ; Brand: 
7. Signal cable 5 m.
Remarks:</t>
        </is>
      </c>
      <c r="D2" s="5" t="inlineStr">
        <is>
          <t>unit</t>
        </is>
      </c>
      <c r="E2" s="34" t="n">
        <v>1</v>
      </c>
      <c r="F2" s="35" t="n"/>
      <c r="G2" s="36">
        <f>E2*F2</f>
        <v/>
      </c>
      <c r="H2" s="37" t="n"/>
      <c r="I2" s="4" t="n"/>
    </row>
    <row r="3" ht="46.05" customHeight="1" s="26">
      <c r="A3" s="22" t="inlineStr">
        <is>
          <t>Total Amount (Tax Incl.)
Amount in words:</t>
        </is>
      </c>
      <c r="B3" s="23" t="n"/>
      <c r="C3" s="31">
        <f>IF(G3=0,"","SAY TOTAL USD "&amp;TRIM(IF(INT(ROUND(G3,2))=0,"ZERO",CHOOSE(INT(INT(ROUND(G3,2)/1000000)/100)+1,"","ONE ","TWO ","THREE ","FOUR ","FIVE ","SIX ","SEVEN ","EIGHT ","NINE ")&amp;IF(INT(INT(ROUND(G3,2)/1000000)/100)&gt;0,"HUNDRED ","")&amp;IF(MOD(INT(ROUND(G3,2)/1000000),100)&gt;0,IF(MOD(INT(ROUND(G3,2)/1000000),100)&lt;20,CHOOSE(MOD(INT(ROUND(G3,2)/1000000),100)+1,"","ONE ","TWO ","THREE ","FOUR ","FIVE ","SIX ","SEVEN ","EIGHT ","NINE ","TEN ","ELEVEN ","TWELVE ","THIRTEEN ","FOURTEEN ","FIFTEEN ","SIXTEEN ","SEVENTEEN ","EIGHTEEN ","NINETEEN "),CHOOSE(INT(MOD(INT(ROUND(G3,2)/1000000),100)/10),"","TWENTY ","THIRTY ","FORTY ","FIFTY ","SIXTY ","SEVENTY ","EIGHTY ","NINETY ")&amp;CHOOSE(MOD(INT(ROUND(G3,2)/1000000),10)+1,"","ONE ","TWO ","THREE ","FOUR ","FIVE ","SIX ","SEVEN ","EIGHT ","NINE ")),"")&amp;IF(INT(ROUND(G3,2)/1000000)&gt;0,"MILLION ","")&amp;CHOOSE(INT(INT(MOD(ROUND(G3,2),1000000)/1000)/100)+1,"","ONE ","TWO ","THREE ","FOUR ","FIVE ","SIX ","SEVEN ","EIGHT ","NINE ")&amp;IF(INT(INT(MOD(ROUND(G3,2),1000000)/1000)/100)&gt;0,"HUNDRED ","")&amp;IF(MOD(INT(MOD(ROUND(G3,2),1000000)/1000),100)&gt;0,IF(MOD(INT(MOD(ROUND(G3,2),1000000)/1000),100)&lt;20,CHOOSE(MOD(INT(MOD(ROUND(G3,2),1000000)/1000),100)+1,"","ONE ","TWO ","THREE ","FOUR ","FIVE ","SIX ","SEVEN ","EIGHT ","NINE ","TEN ","ELEVEN ","TWELVE ","THIRTEEN ","FOURTEEN ","FIFTEEN ","SIXTEEN ","SEVENTEEN ","EIGHTEEN ","NINETEEN "),CHOOSE(INT(MOD(INT(MOD(ROUND(G3,2),1000000)/1000),100)/10),"","TWENTY ","THIRTY ","FORTY ","FIFTY ","SIXTY ","SEVENTY ","EIGHTY ","NINETY ")&amp;CHOOSE(MOD(INT(MOD(ROUND(G3,2),1000000)/1000),10)+1,"","ONE ","TWO ","THREE ","FOUR ","FIVE ","SIX ","SEVEN ","EIGHT ","NINE ")),"")&amp;IF(INT(MOD(ROUND(G3,2),1000000)/1000)&gt;0,"THOUSAND ","")&amp;CHOOSE(INT(MOD(ROUND(G3,2),1000)/100)+1,"","ONE ","TWO ","THREE ","FOUR ","FIVE ","SIX ","SEVEN ","EIGHT ","NINE ")&amp;IF(INT(MOD(ROUND(G3,2),1000)/100)&gt;0,"HUNDRED ","")&amp;IF(MOD(MOD(ROUND(G3,2),1000),100)&gt;0,IF(MOD(MOD(ROUND(G3,2),1000),100)&lt;20,CHOOSE(MOD(MOD(ROUND(G3,2),1000),100)+1,"","ONE ","TWO ","THREE ","FOUR ","FIVE ","SIX ","SEVEN ","EIGHT ","NINE ","TEN ","ELEVEN ","TWELVE ","THIRTEEN ","FOURTEEN ","FIFTEEN ","SIXTEEN ","SEVENTEEN ","EIGHTEEN ","NINETEEN "),CHOOSE(INT(MOD(MOD(ROUND(G3,2),1000),100)/10),"","TWENTY ","THIRTY ","FORTY ","FIFTY ","SIXTY ","SEVENTY ","EIGHTY ","NINETY ")&amp;CHOOSE(MOD(MOD(ROUND(G3,2),1000),10)+1,"","ONE ","TWO ","THREE ","FOUR ","FIVE ","SIX ","SEVEN ","EIGHT ","NINE ")),"")))&amp;IF(MOD(ROUND(G3*100,0),100)=0," ONLY"," AND "&amp;TEXT(MOD(ROUND(G3*100,0),100),"00")&amp;"/100 ONLY"))</f>
        <v/>
      </c>
      <c r="D3" s="32" t="n"/>
      <c r="E3" s="23" t="n"/>
      <c r="F3" s="7" t="inlineStr">
        <is>
          <t>USD:</t>
        </is>
      </c>
      <c r="G3" s="38">
        <f>SUM(G2:G2)</f>
        <v/>
      </c>
      <c r="H3" s="23" t="n"/>
      <c r="I3" s="4" t="n"/>
    </row>
    <row r="4" ht="18" customHeight="1" s="26">
      <c r="A4" s="8" t="inlineStr">
        <is>
          <t>Quotation Notes:</t>
        </is>
      </c>
      <c r="B4" s="9" t="n"/>
      <c r="C4" s="9" t="n"/>
      <c r="D4" s="9" t="n"/>
      <c r="E4" s="9" t="n"/>
      <c r="F4" s="9" t="n"/>
      <c r="G4" s="9" t="n"/>
      <c r="H4" s="10" t="n"/>
      <c r="I4" s="4" t="n"/>
    </row>
    <row r="5" ht="59.25" customHeight="1" s="26">
      <c r="A5" s="8" t="n"/>
      <c r="B5" s="25" t="inlineStr">
        <is>
          <t>1. The equipment prices include 13% VAT special invoice and the service fee includes 6% VAT special invoice; freight is included (excluding Xinjiang, Tibet, Inner Mongolia, Hong Kong, Macao and Taiwan); the full invoice will be issued after full payment is received and delivery is completed;</t>
        </is>
      </c>
      <c r="H5" s="27" t="n"/>
      <c r="I5" s="11" t="n"/>
    </row>
    <row r="6" ht="39" customHeight="1" s="26">
      <c r="A6" s="8" t="n"/>
      <c r="B6" s="25" t="inlineStr">
        <is>
          <t>2. Payment terms: 30% advance payment, and the balance paid before shipment;</t>
        </is>
      </c>
      <c r="H6" s="27" t="n"/>
      <c r="I6" s="11" t="n"/>
    </row>
    <row r="7" ht="18" customHeight="1" s="26">
      <c r="A7" s="12" t="n"/>
      <c r="B7" s="25" t="inlineStr">
        <is>
          <t>3. Warranty period: 12 months from the arrival of goods on site;</t>
        </is>
      </c>
      <c r="H7" s="27" t="n"/>
      <c r="I7" s="13" t="n"/>
    </row>
    <row r="8" ht="18" customHeight="1" s="26">
      <c r="A8" s="8" t="n"/>
      <c r="B8" s="25" t="inlineStr">
        <is>
          <t>4. Delivery time: 20 working days after receipt of the advance payment;</t>
        </is>
      </c>
      <c r="H8" s="27" t="n"/>
      <c r="I8" s="14" t="n"/>
    </row>
    <row r="9" ht="44.85" customHeight="1" s="26">
      <c r="A9" s="8" t="n"/>
      <c r="B9" s="25" t="inlineStr">
        <is>
          <t>5. The buyer is responsible for utilities and civil works, as well as the installation and fixing of the above products, cable laying and wiring, and calibration weights (or substitutes); the seller is responsible for guiding installation and commissioning.</t>
        </is>
      </c>
      <c r="H9" s="27" t="n"/>
      <c r="I9" s="11" t="n"/>
    </row>
    <row r="10" ht="18" customHeight="1" s="26">
      <c r="A10" s="8" t="n"/>
      <c r="B10" s="25" t="inlineStr">
        <is>
          <t>6. Anchor bolts for the upright pole are not included in the above;</t>
        </is>
      </c>
      <c r="H10" s="27" t="n"/>
      <c r="I10" s="14" t="n"/>
    </row>
    <row r="11" ht="18" customHeight="1" s="26">
      <c r="A11" s="15" t="n"/>
      <c r="B11" s="28" t="inlineStr">
        <is>
          <t>7. Quotation validity: 30 days.</t>
        </is>
      </c>
      <c r="C11" s="29" t="n"/>
      <c r="D11" s="29" t="n"/>
      <c r="E11" s="29" t="n"/>
      <c r="F11" s="29" t="n"/>
      <c r="G11" s="29" t="n"/>
      <c r="H11" s="30" t="n"/>
      <c r="I11" s="4" t="n"/>
    </row>
  </sheetData>
  <mergeCells count="10">
    <mergeCell ref="B8:H8"/>
    <mergeCell ref="B9:H9"/>
    <mergeCell ref="B6:H6"/>
    <mergeCell ref="C3:E3"/>
    <mergeCell ref="B7:H7"/>
    <mergeCell ref="B11:H11"/>
    <mergeCell ref="B10:H10"/>
    <mergeCell ref="B5:H5"/>
    <mergeCell ref="A3:B3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2026-08-31T11:32:06Z</dcterms:created>
  <dcterms:modified xmlns:dcterms="http://purl.org/dc/terms/" xmlns:xsi="http://www.w3.org/2001/XMLSchema-instance" xsi:type="dcterms:W3CDTF">2026-09-07T23:27:27Z</dcterms:modified>
  <cp:lastModifiedBy>COPA</cp:lastModifiedBy>
</cp:coreProperties>
</file>